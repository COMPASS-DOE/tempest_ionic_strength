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6"/>
  <workbookPr/>
  <mc:AlternateContent xmlns:mc="http://schemas.openxmlformats.org/markup-compatibility/2006">
    <mc:Choice Requires="x15">
      <x15ac:absPath xmlns:x15ac="http://schemas.microsoft.com/office/spreadsheetml/2010/11/ac" url="/Users/myer056/GitHub/tempest_ionic_strength/Data/Exp 3 Column Experiment ColEx Data/2025_control_col_data/"/>
    </mc:Choice>
  </mc:AlternateContent>
  <xr:revisionPtr revIDLastSave="0" documentId="13_ncr:1_{3587CBAD-E103-044C-A7D3-345D80F1ABC6}" xr6:coauthVersionLast="47" xr6:coauthVersionMax="47" xr10:uidLastSave="{00000000-0000-0000-0000-000000000000}"/>
  <bookViews>
    <workbookView xWindow="900" yWindow="-26060" windowWidth="36620" windowHeight="21140" activeTab="1" xr2:uid="{4A9845D0-6BF3-40BD-B3AC-A9A2E8CDDC45}"/>
  </bookViews>
  <sheets>
    <sheet name="ICP Data" sheetId="3" r:id="rId1"/>
    <sheet name="Sheet1" sheetId="4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R74" i="3" l="1"/>
  <c r="AM74" i="3"/>
  <c r="AC74" i="3"/>
  <c r="X74" i="3"/>
  <c r="N74" i="3"/>
  <c r="AR68" i="3"/>
  <c r="AM68" i="3"/>
  <c r="AC68" i="3"/>
  <c r="X68" i="3"/>
  <c r="N68" i="3"/>
  <c r="AR62" i="3"/>
  <c r="AM62" i="3"/>
  <c r="AC62" i="3"/>
  <c r="X62" i="3"/>
  <c r="N62" i="3"/>
  <c r="AR56" i="3"/>
  <c r="AM56" i="3"/>
  <c r="AC56" i="3"/>
  <c r="X56" i="3"/>
  <c r="N56" i="3"/>
  <c r="AR50" i="3"/>
  <c r="AM50" i="3"/>
  <c r="AC50" i="3"/>
  <c r="X50" i="3"/>
  <c r="N50" i="3"/>
  <c r="AR44" i="3"/>
  <c r="AM44" i="3"/>
  <c r="AC44" i="3"/>
  <c r="X44" i="3"/>
  <c r="N44" i="3"/>
  <c r="AQ38" i="3"/>
  <c r="AM38" i="3"/>
  <c r="AC38" i="3"/>
  <c r="W38" i="3"/>
  <c r="N38" i="3"/>
  <c r="M38" i="3"/>
  <c r="AR32" i="3"/>
  <c r="AL32" i="3"/>
  <c r="AB32" i="3"/>
  <c r="X32" i="3"/>
  <c r="N32" i="3"/>
  <c r="AQ26" i="3"/>
  <c r="AM26" i="3"/>
  <c r="AC26" i="3"/>
  <c r="W26" i="3"/>
  <c r="N26" i="3"/>
  <c r="M26" i="3"/>
  <c r="AR20" i="3"/>
  <c r="AL20" i="3"/>
  <c r="AB20" i="3"/>
  <c r="X20" i="3"/>
  <c r="N20" i="3"/>
  <c r="AQ14" i="3"/>
  <c r="AM14" i="3"/>
  <c r="AC14" i="3"/>
  <c r="W14" i="3"/>
  <c r="N14" i="3"/>
  <c r="M14" i="3"/>
  <c r="AR8" i="3"/>
  <c r="AL8" i="3"/>
  <c r="AC8" i="3"/>
  <c r="X8" i="3"/>
  <c r="N8" i="3"/>
  <c r="I74" i="3"/>
  <c r="I62" i="3"/>
  <c r="I50" i="3"/>
  <c r="I38" i="3"/>
  <c r="I26" i="3"/>
  <c r="I14" i="3"/>
  <c r="AC20" i="3" l="1"/>
  <c r="AM8" i="3"/>
  <c r="AR38" i="3"/>
  <c r="X14" i="3"/>
  <c r="X38" i="3"/>
  <c r="X26" i="3"/>
  <c r="AH74" i="3"/>
  <c r="AR26" i="3"/>
  <c r="AB8" i="3"/>
  <c r="AR14" i="3"/>
  <c r="AC32" i="3"/>
  <c r="AH56" i="3"/>
  <c r="AH32" i="3"/>
  <c r="AG14" i="3"/>
  <c r="AH62" i="3"/>
  <c r="AH38" i="3"/>
  <c r="AM32" i="3"/>
  <c r="AH20" i="3"/>
  <c r="AM20" i="3"/>
  <c r="AH68" i="3"/>
  <c r="AH44" i="3"/>
  <c r="AB44" i="3"/>
  <c r="AL44" i="3"/>
  <c r="M50" i="3"/>
  <c r="W50" i="3"/>
  <c r="AG50" i="3"/>
  <c r="AQ50" i="3"/>
  <c r="AB56" i="3"/>
  <c r="AL56" i="3"/>
  <c r="M62" i="3"/>
  <c r="W62" i="3"/>
  <c r="AQ62" i="3"/>
  <c r="AB68" i="3"/>
  <c r="AL68" i="3"/>
  <c r="M74" i="3"/>
  <c r="W74" i="3"/>
  <c r="AQ74" i="3"/>
  <c r="M8" i="3"/>
  <c r="W8" i="3"/>
  <c r="AQ8" i="3"/>
  <c r="AB14" i="3"/>
  <c r="AL14" i="3"/>
  <c r="M20" i="3"/>
  <c r="W20" i="3"/>
  <c r="AQ20" i="3"/>
  <c r="AB26" i="3"/>
  <c r="AL26" i="3"/>
  <c r="M32" i="3"/>
  <c r="W32" i="3"/>
  <c r="AQ32" i="3"/>
  <c r="AB38" i="3"/>
  <c r="AL38" i="3"/>
  <c r="M44" i="3"/>
  <c r="W44" i="3"/>
  <c r="AQ44" i="3"/>
  <c r="AB50" i="3"/>
  <c r="AL50" i="3"/>
  <c r="M56" i="3"/>
  <c r="W56" i="3"/>
  <c r="AG56" i="3"/>
  <c r="AQ56" i="3"/>
  <c r="AB62" i="3"/>
  <c r="AL62" i="3"/>
  <c r="M68" i="3"/>
  <c r="W68" i="3"/>
  <c r="AQ68" i="3"/>
  <c r="AB74" i="3"/>
  <c r="AL74" i="3"/>
  <c r="H20" i="3"/>
  <c r="H68" i="3"/>
  <c r="H44" i="3"/>
  <c r="H32" i="3"/>
  <c r="H56" i="3"/>
  <c r="I8" i="3"/>
  <c r="I20" i="3"/>
  <c r="I32" i="3"/>
  <c r="I44" i="3"/>
  <c r="I56" i="3"/>
  <c r="I68" i="3"/>
  <c r="H26" i="3"/>
  <c r="H50" i="3"/>
  <c r="H62" i="3"/>
  <c r="H14" i="3"/>
  <c r="H38" i="3"/>
  <c r="H74" i="3"/>
  <c r="AG44" i="3" l="1"/>
  <c r="AG62" i="3"/>
  <c r="AG68" i="3"/>
  <c r="AG74" i="3"/>
  <c r="AG32" i="3"/>
  <c r="AG8" i="3"/>
  <c r="AG20" i="3"/>
  <c r="AH8" i="3"/>
  <c r="AG38" i="3"/>
  <c r="AH26" i="3"/>
  <c r="AG26" i="3"/>
  <c r="AH14" i="3"/>
  <c r="AH50" i="3"/>
  <c r="S74" i="3"/>
  <c r="H8" i="3"/>
  <c r="S68" i="3" l="1"/>
  <c r="S62" i="3"/>
  <c r="R62" i="3"/>
  <c r="S20" i="3"/>
  <c r="S14" i="3"/>
  <c r="S26" i="3"/>
  <c r="R26" i="3"/>
  <c r="R44" i="3"/>
  <c r="S56" i="3"/>
  <c r="S44" i="3"/>
  <c r="R20" i="3"/>
  <c r="R74" i="3"/>
  <c r="R68" i="3"/>
  <c r="S8" i="3"/>
  <c r="R32" i="3"/>
  <c r="R50" i="3"/>
  <c r="R8" i="3"/>
  <c r="S32" i="3"/>
  <c r="S50" i="3"/>
  <c r="R38" i="3"/>
  <c r="R14" i="3"/>
  <c r="S38" i="3"/>
  <c r="R56" i="3"/>
</calcChain>
</file>

<file path=xl/sharedStrings.xml><?xml version="1.0" encoding="utf-8"?>
<sst xmlns="http://schemas.openxmlformats.org/spreadsheetml/2006/main" count="321" uniqueCount="26">
  <si>
    <t xml:space="preserve"> </t>
  </si>
  <si>
    <t>Column</t>
  </si>
  <si>
    <t>Avg</t>
  </si>
  <si>
    <t>Stdev</t>
  </si>
  <si>
    <t>C1</t>
  </si>
  <si>
    <t>C2</t>
  </si>
  <si>
    <t>C3</t>
  </si>
  <si>
    <t>C4</t>
  </si>
  <si>
    <t>C5</t>
  </si>
  <si>
    <t>Na (589.592 nm)</t>
  </si>
  <si>
    <t>ppm</t>
  </si>
  <si>
    <t>stdev</t>
  </si>
  <si>
    <t>K (766.49 nm)</t>
  </si>
  <si>
    <t>Ca (315.887 nm)</t>
  </si>
  <si>
    <t>Al (396.153 nm)</t>
  </si>
  <si>
    <t>Fe (259.939 nm)</t>
  </si>
  <si>
    <t>Mg (285.213 nm; DL=0.08 ppm)</t>
  </si>
  <si>
    <t>Treatment</t>
  </si>
  <si>
    <t>Wash</t>
  </si>
  <si>
    <t>Mn (259.372 nm; DL=0.01 ppm)</t>
  </si>
  <si>
    <t>S (180.669 nm; DL=0.08 ppm)</t>
  </si>
  <si>
    <t>P (214.914 nm; DL=0.1 ppm)</t>
  </si>
  <si>
    <t>&lt; 0.01 ppm</t>
  </si>
  <si>
    <t>&lt; 0.1 ppm</t>
  </si>
  <si>
    <t>&lt; 0.08 ppm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</si>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</sst>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"/>
  </numFmts>
  <fonts count="4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1"/>
      <name val="Aptos Narrow"/>
      <family val="2"/>
      <scheme val="minor"/>
    </font>
    <font>
      <sz val="12"/>
      <color rgb="FF9C0006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7CE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2" borderId="0" applyNumberFormat="0" applyBorder="0" applyAlignment="0" applyProtection="0"/>
  </cellStyleXfs>
  <cellXfs count="9">
    <xf numFmtId="0" fontId="0" fillId="0" borderId="0" xfId="0"/>
    <xf numFmtId="0" fontId="1" fillId="0" borderId="0" xfId="0" applyFont="1"/>
    <xf numFmtId="14" fontId="0" fillId="0" borderId="0" xfId="0" quotePrefix="1" applyNumberFormat="1"/>
    <xf numFmtId="164" fontId="2" fillId="0" borderId="0" xfId="0" applyNumberFormat="1" applyFont="1"/>
    <xf numFmtId="164" fontId="1" fillId="0" borderId="0" xfId="0" applyNumberFormat="1" applyFont="1"/>
    <xf numFmtId="165" fontId="2" fillId="0" borderId="0" xfId="0" applyNumberFormat="1" applyFont="1"/>
    <xf numFmtId="0" fontId="2" fillId="0" borderId="0" xfId="0" applyFont="1"/>
    <xf numFmtId="2" fontId="2" fillId="0" borderId="0" xfId="0" applyNumberFormat="1" applyFont="1"/>
    <xf numFmtId="164" fontId="3" fillId="2" borderId="0" xfId="1" applyNumberFormat="1"/>
  </cellXfs>
  <cellStyles count="2">
    <cellStyle name="Bad" xfId="1" builtinId="27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val>
            <c:numRef>
              <c:f>'ICP Data'!#REF!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'ICP Data'!#REF!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0-A7C1-48DA-AE58-7C96942AFC7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74100743"/>
        <c:axId val="674102791"/>
      </c:lineChart>
      <c:catAx>
        <c:axId val="674100743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4102791"/>
        <c:crosses val="autoZero"/>
        <c:auto val="1"/>
        <c:lblAlgn val="ctr"/>
        <c:lblOffset val="100"/>
        <c:noMultiLvlLbl val="0"/>
      </c:catAx>
      <c:valAx>
        <c:axId val="674102791"/>
        <c:scaling>
          <c:orientation val="minMax"/>
          <c:max val="1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4100743"/>
        <c:crosses val="autoZero"/>
        <c:crossBetween val="between"/>
        <c:majorUnit val="0.5"/>
        <c:minorUnit val="0.1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0</xdr:row>
      <xdr:rowOff>-15868650</xdr:rowOff>
    </xdr:from>
    <xdr:to>
      <xdr:col>10</xdr:col>
      <xdr:colOff>0</xdr:colOff>
      <xdr:row>0</xdr:row>
      <xdr:rowOff>-13449300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07A78E8-4701-4EFA-8A1D-B803B38A359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4B7D9D-26F7-4DC8-8989-78B8038B541C}">
  <dimension ref="B3:AW79"/>
  <sheetViews>
    <sheetView topLeftCell="V1" zoomScale="110" zoomScaleNormal="110" workbookViewId="0">
      <pane ySplit="6" topLeftCell="A49" activePane="bottomLeft" state="frozen"/>
      <selection pane="bottomLeft" activeCell="AO8" sqref="AO8:AO78"/>
    </sheetView>
  </sheetViews>
  <sheetFormatPr baseColWidth="10" defaultColWidth="8.83203125" defaultRowHeight="15" x14ac:dyDescent="0.2"/>
  <cols>
    <col min="2" max="2" width="11.5" customWidth="1"/>
    <col min="5" max="5" width="2.5" customWidth="1"/>
    <col min="6" max="9" width="9.1640625" style="6"/>
    <col min="10" max="10" width="3" style="1" customWidth="1"/>
    <col min="11" max="14" width="9.1640625" style="6"/>
    <col min="15" max="15" width="3" style="1" customWidth="1"/>
    <col min="16" max="19" width="9.1640625" style="6"/>
    <col min="20" max="20" width="3" style="6" customWidth="1"/>
    <col min="21" max="24" width="9.1640625" style="6"/>
    <col min="25" max="25" width="4.5" style="1" customWidth="1"/>
    <col min="26" max="29" width="9.1640625" style="6"/>
    <col min="30" max="30" width="3.33203125" style="1" customWidth="1"/>
    <col min="31" max="34" width="9.1640625" style="6"/>
    <col min="35" max="35" width="3.6640625" style="1" customWidth="1"/>
    <col min="36" max="39" width="9.1640625" style="6"/>
    <col min="40" max="40" width="3.5" style="6" customWidth="1"/>
    <col min="41" max="44" width="9.1640625" style="6"/>
    <col min="45" max="45" width="3.33203125" customWidth="1"/>
    <col min="46" max="49" width="9.1640625" style="6"/>
  </cols>
  <sheetData>
    <row r="3" spans="2:49" x14ac:dyDescent="0.2">
      <c r="D3" t="s">
        <v>0</v>
      </c>
      <c r="F3" s="3" t="s">
        <v>0</v>
      </c>
      <c r="G3" s="3" t="s">
        <v>0</v>
      </c>
      <c r="K3" s="5" t="s">
        <v>0</v>
      </c>
      <c r="L3" s="7" t="s">
        <v>0</v>
      </c>
      <c r="M3" s="3" t="s">
        <v>0</v>
      </c>
      <c r="N3" s="3" t="s">
        <v>0</v>
      </c>
      <c r="O3" s="1" t="s">
        <v>0</v>
      </c>
      <c r="P3" s="5" t="s">
        <v>0</v>
      </c>
      <c r="Q3" s="7" t="s">
        <v>0</v>
      </c>
      <c r="R3" s="3" t="s">
        <v>0</v>
      </c>
      <c r="S3" s="3" t="s">
        <v>0</v>
      </c>
      <c r="T3" s="3"/>
      <c r="U3" s="3" t="s">
        <v>0</v>
      </c>
      <c r="V3" s="3" t="s">
        <v>0</v>
      </c>
      <c r="Z3" s="3" t="s">
        <v>0</v>
      </c>
      <c r="AA3" s="3" t="s">
        <v>0</v>
      </c>
      <c r="AE3" s="3" t="s">
        <v>0</v>
      </c>
      <c r="AF3" s="3" t="s">
        <v>0</v>
      </c>
      <c r="AJ3" s="3" t="s">
        <v>0</v>
      </c>
      <c r="AK3" s="3" t="s">
        <v>0</v>
      </c>
      <c r="AL3" s="6" t="s">
        <v>0</v>
      </c>
      <c r="AO3" s="3" t="s">
        <v>0</v>
      </c>
      <c r="AP3" s="3" t="s">
        <v>0</v>
      </c>
      <c r="AT3" s="3" t="s">
        <v>0</v>
      </c>
      <c r="AU3" s="3" t="s">
        <v>0</v>
      </c>
    </row>
    <row r="4" spans="2:49" x14ac:dyDescent="0.2">
      <c r="C4" t="s">
        <v>17</v>
      </c>
    </row>
    <row r="5" spans="2:49" x14ac:dyDescent="0.2">
      <c r="B5" t="s">
        <v>25</v>
      </c>
      <c r="C5" t="s">
        <v>18</v>
      </c>
      <c r="D5" t="s">
        <v>1</v>
      </c>
      <c r="F5" s="7" t="s">
        <v>9</v>
      </c>
      <c r="K5" s="6" t="s">
        <v>12</v>
      </c>
      <c r="P5" s="6" t="s">
        <v>16</v>
      </c>
      <c r="U5" s="6" t="s">
        <v>13</v>
      </c>
      <c r="Z5" s="6" t="s">
        <v>14</v>
      </c>
      <c r="AE5" s="6" t="s">
        <v>15</v>
      </c>
      <c r="AJ5" s="6" t="s">
        <v>19</v>
      </c>
      <c r="AO5" s="6" t="s">
        <v>20</v>
      </c>
      <c r="AT5" s="6" t="s">
        <v>21</v>
      </c>
    </row>
    <row r="6" spans="2:49" x14ac:dyDescent="0.2">
      <c r="F6" s="6" t="s">
        <v>10</v>
      </c>
      <c r="G6" s="6" t="s">
        <v>11</v>
      </c>
      <c r="H6" s="6" t="s">
        <v>2</v>
      </c>
      <c r="I6" s="6" t="s">
        <v>3</v>
      </c>
      <c r="K6" s="6" t="s">
        <v>10</v>
      </c>
      <c r="L6" s="6" t="s">
        <v>11</v>
      </c>
      <c r="M6" s="6" t="s">
        <v>2</v>
      </c>
      <c r="N6" s="6" t="s">
        <v>3</v>
      </c>
      <c r="P6" s="6" t="s">
        <v>10</v>
      </c>
      <c r="Q6" s="6" t="s">
        <v>11</v>
      </c>
      <c r="R6" s="6" t="s">
        <v>2</v>
      </c>
      <c r="S6" s="6" t="s">
        <v>3</v>
      </c>
      <c r="U6" s="6" t="s">
        <v>10</v>
      </c>
      <c r="V6" s="6" t="s">
        <v>11</v>
      </c>
      <c r="W6" s="6" t="s">
        <v>2</v>
      </c>
      <c r="X6" s="6" t="s">
        <v>3</v>
      </c>
      <c r="Z6" s="6" t="s">
        <v>10</v>
      </c>
      <c r="AA6" s="6" t="s">
        <v>11</v>
      </c>
      <c r="AB6" s="6" t="s">
        <v>2</v>
      </c>
      <c r="AC6" s="6" t="s">
        <v>3</v>
      </c>
      <c r="AE6" s="6" t="s">
        <v>10</v>
      </c>
      <c r="AF6" s="6" t="s">
        <v>11</v>
      </c>
      <c r="AG6" s="6" t="s">
        <v>2</v>
      </c>
      <c r="AH6" s="6" t="s">
        <v>3</v>
      </c>
      <c r="AJ6" s="6" t="s">
        <v>10</v>
      </c>
      <c r="AK6" s="6" t="s">
        <v>11</v>
      </c>
      <c r="AL6" s="6" t="s">
        <v>2</v>
      </c>
      <c r="AM6" s="6" t="s">
        <v>3</v>
      </c>
      <c r="AO6" s="6" t="s">
        <v>10</v>
      </c>
      <c r="AP6" s="6" t="s">
        <v>11</v>
      </c>
      <c r="AQ6" s="6" t="s">
        <v>2</v>
      </c>
      <c r="AR6" s="6" t="s">
        <v>3</v>
      </c>
      <c r="AT6" s="6" t="s">
        <v>10</v>
      </c>
      <c r="AU6" s="6" t="s">
        <v>11</v>
      </c>
      <c r="AV6" s="6" t="s">
        <v>2</v>
      </c>
      <c r="AW6" s="6" t="s">
        <v>3</v>
      </c>
    </row>
    <row r="8" spans="2:49" ht="16" x14ac:dyDescent="0.2">
      <c r="B8" s="2">
        <v>45811</v>
      </c>
      <c r="C8">
        <v>1</v>
      </c>
      <c r="D8" t="s">
        <v>4</v>
      </c>
      <c r="F8" s="3">
        <v>7.4384717491825141</v>
      </c>
      <c r="G8" s="3">
        <v>8.4305923159368384E-2</v>
      </c>
      <c r="H8" s="3">
        <f>AVERAGE(F8:F12)</f>
        <v>4.8776396253593086</v>
      </c>
      <c r="I8" s="3">
        <f>STDEV(F8:F12)</f>
        <v>2.0285569720846963</v>
      </c>
      <c r="K8" s="3">
        <v>1.4128086256003611</v>
      </c>
      <c r="L8" s="3">
        <v>7.7292908681513103E-2</v>
      </c>
      <c r="M8" s="3">
        <f>AVERAGE(K8:K12)</f>
        <v>1.3149818446065433</v>
      </c>
      <c r="N8" s="3">
        <f>STDEV(K8:K12)</f>
        <v>0.31960600880851187</v>
      </c>
      <c r="P8" s="8">
        <v>0</v>
      </c>
      <c r="Q8" s="3" t="e">
        <v>#VALUE!</v>
      </c>
      <c r="R8" s="3">
        <f>AVERAGE(P8:P12)</f>
        <v>0.18597391275785197</v>
      </c>
      <c r="S8" s="3">
        <f>STDEV(P8:P12)</f>
        <v>0.17171718860748411</v>
      </c>
      <c r="T8" s="3"/>
      <c r="U8" s="3">
        <v>0.19376840538721904</v>
      </c>
      <c r="V8" s="3">
        <v>5.2511237859936355E-3</v>
      </c>
      <c r="W8" s="3">
        <f>AVERAGE(U8:U12)</f>
        <v>0.26902985050057848</v>
      </c>
      <c r="X8" s="3">
        <f>STDEV(U8:U12)</f>
        <v>0.11565865294213042</v>
      </c>
      <c r="Y8" s="4"/>
      <c r="Z8" s="3">
        <v>0.29676009743894693</v>
      </c>
      <c r="AA8" s="3">
        <v>2.2375711346896598E-2</v>
      </c>
      <c r="AB8" s="3">
        <f>AVERAGE(Z8:Z12)</f>
        <v>0.36681483531243014</v>
      </c>
      <c r="AC8" s="3">
        <f>STDEV(Z8:Z12)</f>
        <v>7.174397225464485E-2</v>
      </c>
      <c r="AE8" s="3">
        <v>0.19723404255319149</v>
      </c>
      <c r="AF8" s="3">
        <v>2.3510297872340425E-2</v>
      </c>
      <c r="AG8" s="3">
        <f>AVERAGE(AE8:AE12)</f>
        <v>0.3227294832826747</v>
      </c>
      <c r="AH8" s="3">
        <f>STDEV(AE8:AE12)</f>
        <v>0.13904280717619633</v>
      </c>
      <c r="AJ8" s="3" t="s">
        <v>22</v>
      </c>
      <c r="AK8" s="3" t="e">
        <v>#VALUE!</v>
      </c>
      <c r="AL8" s="3">
        <f>AVERAGE(AJ8:AJ12)</f>
        <v>5.1945380201528042E-3</v>
      </c>
      <c r="AM8" s="3" t="e">
        <f>STDEV(AJ8:AJ12)</f>
        <v>#DIV/0!</v>
      </c>
      <c r="AN8" s="3"/>
      <c r="AO8" s="3">
        <v>0.12008791208791214</v>
      </c>
      <c r="AP8" s="3">
        <v>2.345316923076924E-2</v>
      </c>
      <c r="AQ8" s="3">
        <f>AVERAGE(AO8:AO12)</f>
        <v>0.50651428571428592</v>
      </c>
      <c r="AR8" s="3">
        <f>STDEV(AO8:AO12)</f>
        <v>0.48844106994284114</v>
      </c>
      <c r="AT8" s="3" t="s">
        <v>23</v>
      </c>
      <c r="AU8" s="3" t="e">
        <v>#VALUE!</v>
      </c>
      <c r="AV8" s="3" t="s">
        <v>0</v>
      </c>
      <c r="AW8" s="3" t="e">
        <v>#VALUE!</v>
      </c>
    </row>
    <row r="9" spans="2:49" x14ac:dyDescent="0.2">
      <c r="C9">
        <v>1</v>
      </c>
      <c r="D9" t="s">
        <v>5</v>
      </c>
      <c r="F9" s="3">
        <v>4.9830373250422557</v>
      </c>
      <c r="G9" s="3">
        <v>0.20302980276150293</v>
      </c>
      <c r="K9" s="3">
        <v>1.7405691094187536</v>
      </c>
      <c r="L9" s="3">
        <v>7.5525338011633136E-2</v>
      </c>
      <c r="P9" s="3">
        <v>0.43445548642231513</v>
      </c>
      <c r="Q9" s="3">
        <v>1.0209703930924406E-2</v>
      </c>
      <c r="R9" s="3" t="s">
        <v>0</v>
      </c>
      <c r="U9" s="3">
        <v>0.39162085580504469</v>
      </c>
      <c r="V9" s="3">
        <v>6.775040805427273E-3</v>
      </c>
      <c r="Z9" s="3">
        <v>0.339138533936719</v>
      </c>
      <c r="AA9" s="3">
        <v>8.9871711493230526E-3</v>
      </c>
      <c r="AE9" s="3">
        <v>0.25841945288753798</v>
      </c>
      <c r="AF9" s="3">
        <v>5.5560182370820665E-2</v>
      </c>
      <c r="AJ9" s="3" t="s">
        <v>22</v>
      </c>
      <c r="AK9" s="3" t="e">
        <v>#VALUE!</v>
      </c>
      <c r="AO9" s="3">
        <v>1.2420219780219783</v>
      </c>
      <c r="AP9" s="3">
        <v>2.099017142857143E-2</v>
      </c>
      <c r="AT9" s="3" t="s">
        <v>23</v>
      </c>
      <c r="AU9" s="3" t="e">
        <v>#VALUE!</v>
      </c>
      <c r="AV9" s="6" t="s">
        <v>0</v>
      </c>
      <c r="AW9" s="6" t="e">
        <v>#VALUE!</v>
      </c>
    </row>
    <row r="10" spans="2:49" x14ac:dyDescent="0.2">
      <c r="C10">
        <v>1</v>
      </c>
      <c r="D10" t="s">
        <v>6</v>
      </c>
      <c r="F10" s="3">
        <v>3.5841720156252097</v>
      </c>
      <c r="G10" s="3">
        <v>4.2151987173641707E-2</v>
      </c>
      <c r="K10" s="3">
        <v>1.1316395578995397</v>
      </c>
      <c r="L10" s="3">
        <v>1.6827500234705025E-2</v>
      </c>
      <c r="P10" s="3">
        <v>0.28085165353545338</v>
      </c>
      <c r="Q10" s="3">
        <v>2.3928560881220629E-2</v>
      </c>
      <c r="U10" s="3">
        <v>0.35447555479564691</v>
      </c>
      <c r="V10" s="3">
        <v>1.2761119972643288E-3</v>
      </c>
      <c r="Z10" s="3">
        <v>0.31200942270267118</v>
      </c>
      <c r="AA10" s="3">
        <v>4.2121272064860613E-3</v>
      </c>
      <c r="AE10" s="3">
        <v>0.21303951367781154</v>
      </c>
      <c r="AF10" s="3">
        <v>1.9983106382978726E-2</v>
      </c>
      <c r="AJ10" s="3" t="s">
        <v>22</v>
      </c>
      <c r="AK10" s="3" t="e">
        <v>#VALUE!</v>
      </c>
      <c r="AO10" s="3">
        <v>0.77520879120879138</v>
      </c>
      <c r="AP10" s="3">
        <v>2.7829995604395613E-2</v>
      </c>
      <c r="AT10" s="3" t="s">
        <v>23</v>
      </c>
      <c r="AU10" s="3" t="e">
        <v>#VALUE!</v>
      </c>
      <c r="AV10" s="6" t="s">
        <v>0</v>
      </c>
      <c r="AW10" s="6" t="e">
        <v>#VALUE!</v>
      </c>
    </row>
    <row r="11" spans="2:49" x14ac:dyDescent="0.2">
      <c r="C11">
        <v>1</v>
      </c>
      <c r="D11" t="s">
        <v>7</v>
      </c>
      <c r="F11" s="3">
        <v>2.2839164923464832</v>
      </c>
      <c r="G11" s="3">
        <v>0.15205175036085719</v>
      </c>
      <c r="K11" s="3">
        <v>1.396400344271999</v>
      </c>
      <c r="L11" s="3">
        <v>5.8135707785472696E-2</v>
      </c>
      <c r="P11" s="3">
        <v>0.11802632124715065</v>
      </c>
      <c r="Q11" s="3">
        <v>5.4764213058677898E-3</v>
      </c>
      <c r="U11" s="3">
        <v>0.29401850754326431</v>
      </c>
      <c r="V11" s="3">
        <v>5.2923331357787578E-3</v>
      </c>
      <c r="Z11" s="3">
        <v>0.4548692488985247</v>
      </c>
      <c r="AA11" s="3">
        <v>1.1462705072242823E-2</v>
      </c>
      <c r="AE11" s="3">
        <v>0.45565349544072947</v>
      </c>
      <c r="AF11" s="3">
        <v>1.9319708206686929E-2</v>
      </c>
      <c r="AJ11" s="3" t="s">
        <v>22</v>
      </c>
      <c r="AK11" s="3" t="e">
        <v>#VALUE!</v>
      </c>
      <c r="AO11" s="3">
        <v>0.21978021978021983</v>
      </c>
      <c r="AP11" s="3">
        <v>1.0395604395604399E-2</v>
      </c>
      <c r="AT11" s="3" t="s">
        <v>23</v>
      </c>
      <c r="AU11" s="3" t="e">
        <v>#VALUE!</v>
      </c>
      <c r="AV11" s="6" t="s">
        <v>0</v>
      </c>
      <c r="AW11" s="6" t="e">
        <v>#VALUE!</v>
      </c>
    </row>
    <row r="12" spans="2:49" x14ac:dyDescent="0.2">
      <c r="C12">
        <v>1</v>
      </c>
      <c r="D12" t="s">
        <v>8</v>
      </c>
      <c r="F12" s="3">
        <v>6.0986005446000791</v>
      </c>
      <c r="G12" s="3">
        <v>0.14721206501626702</v>
      </c>
      <c r="K12" s="3">
        <v>0.89349158584206279</v>
      </c>
      <c r="L12" s="3">
        <v>0.11166046217249212</v>
      </c>
      <c r="P12" s="3">
        <v>9.6536102584340588E-2</v>
      </c>
      <c r="Q12" s="3">
        <v>3.6201038469127721E-3</v>
      </c>
      <c r="U12" s="3">
        <v>0.11126592897171764</v>
      </c>
      <c r="V12" s="3">
        <v>3.1265726041052656E-3</v>
      </c>
      <c r="Z12" s="3">
        <v>0.4312968735852889</v>
      </c>
      <c r="AA12" s="3">
        <v>6.9007499773646227E-3</v>
      </c>
      <c r="AE12" s="3">
        <v>0.48930091185410324</v>
      </c>
      <c r="AF12" s="3">
        <v>1.8593434650455924E-2</v>
      </c>
      <c r="AJ12" s="3">
        <v>5.1945380201528042E-3</v>
      </c>
      <c r="AK12" s="3">
        <v>9.2982230560735189E-5</v>
      </c>
      <c r="AO12" s="3">
        <v>0.17547252747252753</v>
      </c>
      <c r="AP12" s="3">
        <v>3.3953934065934076E-2</v>
      </c>
      <c r="AT12" s="3" t="s">
        <v>23</v>
      </c>
      <c r="AU12" s="3" t="e">
        <v>#VALUE!</v>
      </c>
      <c r="AV12" s="6" t="s">
        <v>0</v>
      </c>
      <c r="AW12" s="6" t="e">
        <v>#VALUE!</v>
      </c>
    </row>
    <row r="13" spans="2:49" x14ac:dyDescent="0.2">
      <c r="F13" s="3"/>
      <c r="AE13" s="3"/>
    </row>
    <row r="14" spans="2:49" x14ac:dyDescent="0.2">
      <c r="B14" s="2">
        <v>45812</v>
      </c>
      <c r="C14">
        <v>2</v>
      </c>
      <c r="D14" t="s">
        <v>4</v>
      </c>
      <c r="F14" s="3">
        <v>7.4170672575991246</v>
      </c>
      <c r="G14" s="3">
        <v>4.8077783800855332E-2</v>
      </c>
      <c r="H14" s="3">
        <f>AVERAGE(F14:F18)</f>
        <v>4.770785811257138</v>
      </c>
      <c r="I14" s="3">
        <f>STDEV(F14:F18)</f>
        <v>2.1829242270056426</v>
      </c>
      <c r="K14" s="3">
        <v>1.6448794564251115</v>
      </c>
      <c r="L14" s="3">
        <v>3.2363717385981379E-2</v>
      </c>
      <c r="M14" s="3">
        <f>AVERAGE(K14:K18)</f>
        <v>1.4371982190810377</v>
      </c>
      <c r="N14" s="3">
        <f>STDEV(K14:K18)</f>
        <v>0.19370121765639506</v>
      </c>
      <c r="P14" s="3">
        <v>8.2130337429939249E-2</v>
      </c>
      <c r="Q14" s="3">
        <v>1.3222984326220219E-3</v>
      </c>
      <c r="R14" s="3">
        <f>AVERAGE(P14:P18)</f>
        <v>0.15837062508346608</v>
      </c>
      <c r="S14" s="3">
        <f>STDEV(P14:P18)</f>
        <v>0.12853123050624135</v>
      </c>
      <c r="T14" s="3"/>
      <c r="U14" s="3">
        <v>0.21216837629011806</v>
      </c>
      <c r="V14" s="3">
        <v>4.5404032526085271E-3</v>
      </c>
      <c r="W14" s="3">
        <f>AVERAGE(U14:U18)</f>
        <v>0.3028174925860897</v>
      </c>
      <c r="X14" s="3">
        <f>STDEV(U14:U18)</f>
        <v>6.6581709500702121E-2</v>
      </c>
      <c r="Y14" s="4"/>
      <c r="Z14" s="3">
        <v>0.31234061673578328</v>
      </c>
      <c r="AA14" s="3">
        <v>4.9974498677725328E-3</v>
      </c>
      <c r="AB14" s="3">
        <f>AVERAGE(Z14:Z18)</f>
        <v>0.33049004975032348</v>
      </c>
      <c r="AC14" s="3">
        <f>STDEV(Z14:Z18)</f>
        <v>5.7346226580350872E-2</v>
      </c>
      <c r="AE14" s="3">
        <v>0.15130699088145899</v>
      </c>
      <c r="AF14" s="3">
        <v>2.4057811550151982E-3</v>
      </c>
      <c r="AG14" s="3">
        <f>AVERAGE(AE14:AE18)</f>
        <v>0.17841945288753799</v>
      </c>
      <c r="AH14" s="3">
        <f>STDEV(AE14:AE18)</f>
        <v>6.6664181810227374E-2</v>
      </c>
      <c r="AJ14" s="3" t="s">
        <v>22</v>
      </c>
      <c r="AK14" s="3" t="e">
        <v>#VALUE!</v>
      </c>
      <c r="AL14" s="3">
        <f>AVERAGE(AJ14:AJ18)</f>
        <v>3.9205226741215078E-3</v>
      </c>
      <c r="AM14" s="3" t="e">
        <f>STDEV(AJ14:AJ18)</f>
        <v>#DIV/0!</v>
      </c>
      <c r="AN14" s="3"/>
      <c r="AO14" s="3">
        <v>0.18496703296703304</v>
      </c>
      <c r="AP14" s="3">
        <v>1.3021679120879127E-2</v>
      </c>
      <c r="AQ14" s="3">
        <f>AVERAGE(AO14:AO18)</f>
        <v>0.42074725274725289</v>
      </c>
      <c r="AR14" s="3">
        <f>STDEV(AO14:AO18)</f>
        <v>0.34678600988241004</v>
      </c>
      <c r="AT14" s="3" t="s">
        <v>23</v>
      </c>
      <c r="AU14" s="3" t="e">
        <v>#VALUE!</v>
      </c>
      <c r="AV14" s="3" t="s">
        <v>0</v>
      </c>
      <c r="AW14" s="3" t="e">
        <v>#VALUE!</v>
      </c>
    </row>
    <row r="15" spans="2:49" x14ac:dyDescent="0.2">
      <c r="C15">
        <v>2</v>
      </c>
      <c r="D15" t="s">
        <v>5</v>
      </c>
      <c r="F15" s="3">
        <v>4.6803646192361477</v>
      </c>
      <c r="G15" s="3">
        <v>0.22401014999603613</v>
      </c>
      <c r="K15" s="3">
        <v>1.5597994791669378</v>
      </c>
      <c r="L15" s="3">
        <v>5.4402630643809194E-2</v>
      </c>
      <c r="P15" s="3">
        <v>0.29544371160705563</v>
      </c>
      <c r="Q15" s="3">
        <v>1.6603936592316525E-2</v>
      </c>
      <c r="U15" s="3">
        <v>0.31276383764976312</v>
      </c>
      <c r="V15" s="3">
        <v>3.596784132972276E-3</v>
      </c>
      <c r="Z15" s="3">
        <v>0.33941212900755069</v>
      </c>
      <c r="AA15" s="3">
        <v>1.7649430708392634E-3</v>
      </c>
      <c r="AE15" s="3">
        <v>0.12009118541033437</v>
      </c>
      <c r="AF15" s="3">
        <v>1.7893586626139821E-3</v>
      </c>
      <c r="AJ15" s="3" t="s">
        <v>22</v>
      </c>
      <c r="AK15" s="3" t="e">
        <v>#VALUE!</v>
      </c>
      <c r="AO15" s="3">
        <v>0.74356043956043971</v>
      </c>
      <c r="AP15" s="3">
        <v>3.0783402197802203E-2</v>
      </c>
      <c r="AT15" s="3" t="s">
        <v>23</v>
      </c>
      <c r="AU15" s="3" t="e">
        <v>#VALUE!</v>
      </c>
      <c r="AV15" s="6" t="s">
        <v>0</v>
      </c>
      <c r="AW15" s="6" t="e">
        <v>#VALUE!</v>
      </c>
    </row>
    <row r="16" spans="2:49" x14ac:dyDescent="0.2">
      <c r="C16">
        <v>2</v>
      </c>
      <c r="D16" t="s">
        <v>6</v>
      </c>
      <c r="F16" s="3">
        <v>3.3667971652079491</v>
      </c>
      <c r="G16" s="3">
        <v>8.7067223570865118E-2</v>
      </c>
      <c r="K16" s="3">
        <v>1.2784784829352984</v>
      </c>
      <c r="L16" s="3">
        <v>3.8772515087176308E-2</v>
      </c>
      <c r="P16" s="3">
        <v>0.28343314110237922</v>
      </c>
      <c r="Q16" s="3">
        <v>2.7833134456253641E-2</v>
      </c>
      <c r="U16" s="3">
        <v>0.39628320505364162</v>
      </c>
      <c r="V16" s="3">
        <v>1.8625310637521153E-3</v>
      </c>
      <c r="Z16" s="3">
        <v>0.27755084351844811</v>
      </c>
      <c r="AA16" s="3">
        <v>4.1355075684248767E-3</v>
      </c>
      <c r="AE16" s="3">
        <v>0.12598784194528878</v>
      </c>
      <c r="AF16" s="3">
        <v>1.1338905775075991E-3</v>
      </c>
      <c r="AJ16" s="3" t="s">
        <v>22</v>
      </c>
      <c r="AK16" s="3" t="e">
        <v>#VALUE!</v>
      </c>
      <c r="AO16" s="3">
        <v>0.85116483516483532</v>
      </c>
      <c r="AP16" s="3">
        <v>2.6896808791208798E-2</v>
      </c>
      <c r="AT16" s="3" t="s">
        <v>23</v>
      </c>
      <c r="AU16" s="3" t="e">
        <v>#VALUE!</v>
      </c>
      <c r="AV16" s="6" t="s">
        <v>0</v>
      </c>
      <c r="AW16" s="6" t="e">
        <v>#VALUE!</v>
      </c>
    </row>
    <row r="17" spans="2:49" x14ac:dyDescent="0.2">
      <c r="C17">
        <v>2</v>
      </c>
      <c r="D17" t="s">
        <v>7</v>
      </c>
      <c r="F17" s="3">
        <v>2.0251653504296159</v>
      </c>
      <c r="G17" s="3">
        <v>0.12353213579952056</v>
      </c>
      <c r="K17" s="3">
        <v>1.5126763131915029</v>
      </c>
      <c r="L17" s="3">
        <v>4.2217221727532089E-2</v>
      </c>
      <c r="P17" s="3">
        <v>0.13084593527795635</v>
      </c>
      <c r="Q17" s="3">
        <v>2.3944806155866013E-3</v>
      </c>
      <c r="U17" s="3">
        <v>0.31374235539329587</v>
      </c>
      <c r="V17" s="3">
        <v>5.1767488639893819E-3</v>
      </c>
      <c r="Z17" s="3">
        <v>0.42486018955045912</v>
      </c>
      <c r="AA17" s="3">
        <v>1.3043207819199095E-2</v>
      </c>
      <c r="AE17" s="3">
        <v>0.27367781155015197</v>
      </c>
      <c r="AF17" s="3">
        <v>4.5704194528875374E-3</v>
      </c>
      <c r="AJ17" s="3" t="s">
        <v>22</v>
      </c>
      <c r="AK17" s="3" t="e">
        <v>#VALUE!</v>
      </c>
      <c r="AO17" s="3">
        <v>0.19446153846153852</v>
      </c>
      <c r="AP17" s="3">
        <v>5.0462769230769249E-2</v>
      </c>
      <c r="AT17" s="3" t="s">
        <v>23</v>
      </c>
      <c r="AU17" s="3" t="e">
        <v>#VALUE!</v>
      </c>
      <c r="AV17" s="6" t="s">
        <v>0</v>
      </c>
      <c r="AW17" s="6" t="e">
        <v>#VALUE!</v>
      </c>
    </row>
    <row r="18" spans="2:49" ht="16" x14ac:dyDescent="0.2">
      <c r="C18">
        <v>2</v>
      </c>
      <c r="D18" t="s">
        <v>8</v>
      </c>
      <c r="F18" s="3">
        <v>6.3645346638128499</v>
      </c>
      <c r="G18" s="3">
        <v>0.13853756257828126</v>
      </c>
      <c r="K18" s="3">
        <v>1.1901573636863372</v>
      </c>
      <c r="L18" s="3">
        <v>7.4307910692261872E-3</v>
      </c>
      <c r="P18" s="8">
        <v>0</v>
      </c>
      <c r="Q18" s="3" t="e">
        <v>#VALUE!</v>
      </c>
      <c r="U18" s="3">
        <v>0.27912968854362968</v>
      </c>
      <c r="V18" s="3">
        <v>1.6636129437200328E-2</v>
      </c>
      <c r="Z18" s="3">
        <v>0.29828646993937635</v>
      </c>
      <c r="AA18" s="3">
        <v>7.9642487473813479E-3</v>
      </c>
      <c r="AE18" s="3">
        <v>0.22103343465045591</v>
      </c>
      <c r="AF18" s="3">
        <v>9.6503197568389043E-2</v>
      </c>
      <c r="AJ18" s="3">
        <v>3.9205226741215078E-3</v>
      </c>
      <c r="AK18" s="3">
        <v>2.0700359719361561E-4</v>
      </c>
      <c r="AO18" s="3">
        <v>0.12958241758241765</v>
      </c>
      <c r="AP18" s="3">
        <v>2.6395938461538478E-2</v>
      </c>
      <c r="AT18" s="3" t="s">
        <v>23</v>
      </c>
      <c r="AU18" s="3" t="e">
        <v>#VALUE!</v>
      </c>
      <c r="AV18" s="6" t="s">
        <v>0</v>
      </c>
      <c r="AW18" s="6" t="e">
        <v>#VALUE!</v>
      </c>
    </row>
    <row r="19" spans="2:49" x14ac:dyDescent="0.2">
      <c r="F19" s="3"/>
      <c r="AE19" s="3"/>
    </row>
    <row r="20" spans="2:49" x14ac:dyDescent="0.2">
      <c r="B20" s="2">
        <v>45813</v>
      </c>
      <c r="C20">
        <v>3</v>
      </c>
      <c r="D20" t="s">
        <v>4</v>
      </c>
      <c r="F20" s="3">
        <v>7.151125330802337</v>
      </c>
      <c r="G20" s="3">
        <v>0.11773187127566286</v>
      </c>
      <c r="H20" s="3">
        <f>AVERAGE(F20:F24)</f>
        <v>4.5243644060203678</v>
      </c>
      <c r="I20" s="3">
        <f>STDEV(F20:F24)</f>
        <v>1.9829749322687398</v>
      </c>
      <c r="K20" s="3">
        <v>1.6705806995551848</v>
      </c>
      <c r="L20" s="3">
        <v>0.10646552150039003</v>
      </c>
      <c r="M20" s="3">
        <f>AVERAGE(K20:K24)</f>
        <v>1.4207342306247086</v>
      </c>
      <c r="N20" s="3">
        <f>STDEV(K20:K24)</f>
        <v>0.24290052736293033</v>
      </c>
      <c r="P20" s="3">
        <v>9.0167546143460786E-2</v>
      </c>
      <c r="Q20" s="3">
        <v>1.929585487470061E-3</v>
      </c>
      <c r="R20" s="3">
        <f>AVERAGE(P20:P24)</f>
        <v>0.17455025365327112</v>
      </c>
      <c r="S20" s="3">
        <f>STDEV(P20:P24)</f>
        <v>7.5589991944749829E-2</v>
      </c>
      <c r="T20" s="3"/>
      <c r="U20" s="3">
        <v>0.21677316567144839</v>
      </c>
      <c r="V20" s="3">
        <v>4.3354633134289679E-4</v>
      </c>
      <c r="W20" s="3">
        <f>AVERAGE(U20:U24)</f>
        <v>0.27226087771647861</v>
      </c>
      <c r="X20" s="3">
        <f>STDEV(U20:U24)</f>
        <v>3.7798627403792792E-2</v>
      </c>
      <c r="Y20" s="4"/>
      <c r="Z20" s="3">
        <v>0.86935138146796798</v>
      </c>
      <c r="AA20" s="3">
        <v>1.9734276359322876E-2</v>
      </c>
      <c r="AB20" s="3">
        <f>AVERAGE(Z20:Z24)</f>
        <v>0.4359076705158314</v>
      </c>
      <c r="AC20" s="3">
        <f>STDEV(Z20:Z24)</f>
        <v>0.25328769962612463</v>
      </c>
      <c r="AE20" s="3">
        <v>0.22927051671732518</v>
      </c>
      <c r="AF20" s="3">
        <v>5.1792209726443758E-2</v>
      </c>
      <c r="AG20" s="3">
        <f>AVERAGE(AE20:AE24)</f>
        <v>0.17895440729483281</v>
      </c>
      <c r="AH20" s="3">
        <f>STDEV(AE20:AE24)</f>
        <v>7.8874576425913501E-2</v>
      </c>
      <c r="AJ20" s="3" t="s">
        <v>22</v>
      </c>
      <c r="AK20" s="3" t="e">
        <v>#VALUE!</v>
      </c>
      <c r="AL20" s="3" t="e">
        <f>AVERAGE(AJ20:AJ24)</f>
        <v>#DIV/0!</v>
      </c>
      <c r="AM20" s="3" t="e">
        <f>STDEV(AJ20:AJ24)</f>
        <v>#DIV/0!</v>
      </c>
      <c r="AN20" s="3"/>
      <c r="AO20" s="3">
        <v>0.33054945054945067</v>
      </c>
      <c r="AP20" s="3">
        <v>1.1668395604395608E-2</v>
      </c>
      <c r="AQ20" s="3">
        <f>AVERAGE(AO20:AO24)</f>
        <v>0.35808351648351661</v>
      </c>
      <c r="AR20" s="3">
        <f>STDEV(AO20:AO24)</f>
        <v>0.23766468693826101</v>
      </c>
      <c r="AT20" s="3" t="s">
        <v>23</v>
      </c>
      <c r="AU20" s="3" t="e">
        <v>#VALUE!</v>
      </c>
      <c r="AV20" s="3" t="s">
        <v>0</v>
      </c>
      <c r="AW20" s="3" t="e">
        <v>#VALUE!</v>
      </c>
    </row>
    <row r="21" spans="2:49" x14ac:dyDescent="0.2">
      <c r="C21">
        <v>3</v>
      </c>
      <c r="D21" t="s">
        <v>5</v>
      </c>
      <c r="F21" s="3">
        <v>4.7082220790098237</v>
      </c>
      <c r="G21" s="3">
        <v>0.13011455551854326</v>
      </c>
      <c r="K21" s="3">
        <v>1.5542794092138779</v>
      </c>
      <c r="L21" s="3">
        <v>2.9941967232009301E-2</v>
      </c>
      <c r="P21" s="3">
        <v>0.25498887397320102</v>
      </c>
      <c r="Q21" s="3">
        <v>2.3280484193753254E-2</v>
      </c>
      <c r="U21" s="3">
        <v>0.2707067613002796</v>
      </c>
      <c r="V21" s="3">
        <v>4.4125202091945571E-3</v>
      </c>
      <c r="Z21" s="3">
        <v>0.34124089605995195</v>
      </c>
      <c r="AA21" s="3">
        <v>1.2967154050278174E-3</v>
      </c>
      <c r="AE21" s="3">
        <v>0.1117629179331307</v>
      </c>
      <c r="AF21" s="3">
        <v>1.3523313069908815E-3</v>
      </c>
      <c r="AJ21" s="3" t="s">
        <v>22</v>
      </c>
      <c r="AK21" s="3" t="e">
        <v>#VALUE!</v>
      </c>
      <c r="AO21" s="3">
        <v>0.55683516483516493</v>
      </c>
      <c r="AP21" s="3">
        <v>5.0672000000000009E-2</v>
      </c>
      <c r="AT21" s="3" t="s">
        <v>23</v>
      </c>
      <c r="AU21" s="3" t="e">
        <v>#VALUE!</v>
      </c>
      <c r="AV21" s="6" t="s">
        <v>0</v>
      </c>
      <c r="AW21" s="6" t="e">
        <v>#VALUE!</v>
      </c>
    </row>
    <row r="22" spans="2:49" x14ac:dyDescent="0.2">
      <c r="C22">
        <v>3</v>
      </c>
      <c r="D22" t="s">
        <v>6</v>
      </c>
      <c r="F22" s="3">
        <v>3.0335733831422012</v>
      </c>
      <c r="G22" s="3">
        <v>0.15725900090652423</v>
      </c>
      <c r="K22" s="3">
        <v>1.2121110363895622</v>
      </c>
      <c r="L22" s="3">
        <v>0.10585877035106214</v>
      </c>
      <c r="P22" s="3">
        <v>0.21861118989865605</v>
      </c>
      <c r="Q22" s="3">
        <v>4.730746149406917E-2</v>
      </c>
      <c r="U22" s="3">
        <v>0.31122890785598634</v>
      </c>
      <c r="V22" s="3">
        <v>4.0770986929134214E-3</v>
      </c>
      <c r="Z22" s="3">
        <v>0.24643300414648567</v>
      </c>
      <c r="AA22" s="3">
        <v>2.3164702389769651E-3</v>
      </c>
      <c r="AE22" s="3">
        <v>9.9057750759878452E-2</v>
      </c>
      <c r="AF22" s="3">
        <v>5.6462917933130716E-4</v>
      </c>
      <c r="AJ22" s="3" t="s">
        <v>22</v>
      </c>
      <c r="AK22" s="3" t="e">
        <v>#VALUE!</v>
      </c>
      <c r="AO22" s="3">
        <v>0.64228571428571435</v>
      </c>
      <c r="AP22" s="3">
        <v>2.1709257142857142E-2</v>
      </c>
      <c r="AT22" s="3" t="s">
        <v>23</v>
      </c>
      <c r="AU22" s="3" t="e">
        <v>#VALUE!</v>
      </c>
      <c r="AV22" s="6" t="s">
        <v>0</v>
      </c>
      <c r="AW22" s="6" t="e">
        <v>#VALUE!</v>
      </c>
    </row>
    <row r="23" spans="2:49" x14ac:dyDescent="0.2">
      <c r="C23">
        <v>3</v>
      </c>
      <c r="D23" t="s">
        <v>7</v>
      </c>
      <c r="F23" s="3">
        <v>2.1760117774355856</v>
      </c>
      <c r="G23" s="3">
        <v>6.6652452245004545E-2</v>
      </c>
      <c r="K23" s="3">
        <v>1.5535197665597869</v>
      </c>
      <c r="L23" s="3">
        <v>6.384486405929167E-2</v>
      </c>
      <c r="P23" s="3">
        <v>0.13443340459776662</v>
      </c>
      <c r="Q23" s="3">
        <v>8.6978412774754987E-3</v>
      </c>
      <c r="U23" s="3">
        <v>0.3031129665713917</v>
      </c>
      <c r="V23" s="3">
        <v>3.4342699112538677E-2</v>
      </c>
      <c r="Z23" s="3">
        <v>0.44105989769180931</v>
      </c>
      <c r="AA23" s="3">
        <v>8.291926076606013E-3</v>
      </c>
      <c r="AE23" s="3">
        <v>0.28553191489361701</v>
      </c>
      <c r="AF23" s="3">
        <v>5.7934425531914892E-2</v>
      </c>
      <c r="AJ23" s="3" t="s">
        <v>22</v>
      </c>
      <c r="AK23" s="3" t="e">
        <v>#VALUE!</v>
      </c>
      <c r="AO23" s="3">
        <v>0.15490109890109896</v>
      </c>
      <c r="AP23" s="3">
        <v>4.3852501098901112E-2</v>
      </c>
      <c r="AT23" s="3" t="s">
        <v>23</v>
      </c>
      <c r="AU23" s="3" t="e">
        <v>#VALUE!</v>
      </c>
      <c r="AV23" s="6" t="s">
        <v>0</v>
      </c>
      <c r="AW23" s="6" t="e">
        <v>#VALUE!</v>
      </c>
    </row>
    <row r="24" spans="2:49" x14ac:dyDescent="0.2">
      <c r="C24">
        <v>3</v>
      </c>
      <c r="D24" t="s">
        <v>8</v>
      </c>
      <c r="F24" s="3">
        <v>5.5528894597118912</v>
      </c>
      <c r="G24" s="3">
        <v>0.13334976881425573</v>
      </c>
      <c r="K24" s="3">
        <v>1.1131802414051324</v>
      </c>
      <c r="L24" s="3">
        <v>6.1160620678825876E-2</v>
      </c>
      <c r="P24" s="3" t="s">
        <v>24</v>
      </c>
      <c r="Q24" s="3" t="e">
        <v>#VALUE!</v>
      </c>
      <c r="U24" s="3">
        <v>0.25948258718328698</v>
      </c>
      <c r="V24" s="3">
        <v>7.8104258742169377E-3</v>
      </c>
      <c r="Z24" s="3">
        <v>0.28145317321294222</v>
      </c>
      <c r="AA24" s="3">
        <v>8.8094843215650916E-3</v>
      </c>
      <c r="AE24" s="3">
        <v>0.16914893617021273</v>
      </c>
      <c r="AF24" s="3">
        <v>3.8904255319148926E-3</v>
      </c>
      <c r="AJ24" s="3" t="s">
        <v>22</v>
      </c>
      <c r="AK24" s="3" t="e">
        <v>#VALUE!</v>
      </c>
      <c r="AO24" s="3">
        <v>0.10584615384615391</v>
      </c>
      <c r="AP24" s="3">
        <v>4.9938215384615417E-2</v>
      </c>
      <c r="AT24" s="3" t="s">
        <v>23</v>
      </c>
      <c r="AU24" s="3" t="e">
        <v>#VALUE!</v>
      </c>
      <c r="AV24" s="6" t="s">
        <v>0</v>
      </c>
      <c r="AW24" s="6" t="e">
        <v>#VALUE!</v>
      </c>
    </row>
    <row r="25" spans="2:49" x14ac:dyDescent="0.2">
      <c r="F25" s="3"/>
      <c r="AE25" s="3"/>
    </row>
    <row r="26" spans="2:49" x14ac:dyDescent="0.2">
      <c r="B26" s="2">
        <v>45814</v>
      </c>
      <c r="C26">
        <v>4</v>
      </c>
      <c r="D26" t="s">
        <v>4</v>
      </c>
      <c r="F26" s="3">
        <v>6.7075062145241784</v>
      </c>
      <c r="G26" s="3">
        <v>7.1258059402141471E-2</v>
      </c>
      <c r="H26" s="3">
        <f>AVERAGE(F26:F30)</f>
        <v>4.0064209936896562</v>
      </c>
      <c r="I26" s="3">
        <f>STDEV(F26:F30)</f>
        <v>1.8574828090186777</v>
      </c>
      <c r="K26" s="3">
        <v>1.5739035111112243</v>
      </c>
      <c r="L26" s="3">
        <v>5.9384708428321657E-2</v>
      </c>
      <c r="M26" s="3">
        <f>AVERAGE(K26:K30)</f>
        <v>1.3400146022010166</v>
      </c>
      <c r="N26" s="3">
        <f>STDEV(K26:K30)</f>
        <v>0.19187483467516478</v>
      </c>
      <c r="P26" s="3">
        <v>8.7876143261890569E-2</v>
      </c>
      <c r="Q26" s="3">
        <v>1.0720889477950648E-3</v>
      </c>
      <c r="R26" s="3">
        <f>AVERAGE(P26:P30)</f>
        <v>0.14696958726168821</v>
      </c>
      <c r="S26" s="3">
        <f>STDEV(P26:P30)</f>
        <v>4.9557743284256425E-2</v>
      </c>
      <c r="T26" s="3"/>
      <c r="U26" s="3">
        <v>0.19179218327773143</v>
      </c>
      <c r="V26" s="3">
        <v>2.6467321292326937E-3</v>
      </c>
      <c r="W26" s="3">
        <f>AVERAGE(U26:U30)</f>
        <v>0.24565286974135825</v>
      </c>
      <c r="X26" s="3">
        <f>STDEV(U26:U30)</f>
        <v>4.2686480182544999E-2</v>
      </c>
      <c r="Y26" s="4"/>
      <c r="Z26" s="3">
        <v>0.33180906598654364</v>
      </c>
      <c r="AA26" s="3">
        <v>8.792940248643407E-3</v>
      </c>
      <c r="AB26" s="3">
        <f>AVERAGE(Z26:Z30)</f>
        <v>0.3307233255475589</v>
      </c>
      <c r="AC26" s="3">
        <f>STDEV(Z26:Z30)</f>
        <v>7.9680163002027918E-2</v>
      </c>
      <c r="AE26" s="3">
        <v>0.12902735562310033</v>
      </c>
      <c r="AF26" s="3">
        <v>5.8320364741641347E-3</v>
      </c>
      <c r="AG26" s="3">
        <f>AVERAGE(AE26:AE30)</f>
        <v>0.15144680851063833</v>
      </c>
      <c r="AH26" s="3">
        <f>STDEV(AE26:AE30)</f>
        <v>7.9461051596473584E-2</v>
      </c>
      <c r="AJ26" s="3" t="s">
        <v>22</v>
      </c>
      <c r="AK26" s="3" t="e">
        <v>#VALUE!</v>
      </c>
      <c r="AL26" s="3" t="e">
        <f>AVERAGE(AJ26:AJ30)</f>
        <v>#DIV/0!</v>
      </c>
      <c r="AM26" s="3" t="e">
        <f>STDEV(AJ26:AJ30)</f>
        <v>#DIV/0!</v>
      </c>
      <c r="AN26" s="3"/>
      <c r="AO26" s="3">
        <v>0.18496703296703304</v>
      </c>
      <c r="AP26" s="3">
        <v>2.0383367032967038E-2</v>
      </c>
      <c r="AQ26" s="3">
        <f>AVERAGE(AO26:AO30)</f>
        <v>0.23247472527472532</v>
      </c>
      <c r="AR26" s="3">
        <f>STDEV(AO26:AO30)</f>
        <v>0.20151039961860523</v>
      </c>
      <c r="AT26" s="3" t="s">
        <v>23</v>
      </c>
      <c r="AU26" s="3" t="e">
        <v>#VALUE!</v>
      </c>
      <c r="AV26" s="3" t="s">
        <v>0</v>
      </c>
      <c r="AW26" s="3" t="e">
        <v>#VALUE!</v>
      </c>
    </row>
    <row r="27" spans="2:49" x14ac:dyDescent="0.2">
      <c r="C27">
        <v>4</v>
      </c>
      <c r="D27" t="s">
        <v>5</v>
      </c>
      <c r="F27" s="3">
        <v>4.3696852360203131</v>
      </c>
      <c r="G27" s="3">
        <v>0.13407624418358891</v>
      </c>
      <c r="K27" s="3">
        <v>1.3342362537455656</v>
      </c>
      <c r="L27" s="3">
        <v>7.2137535656024696E-2</v>
      </c>
      <c r="P27" s="3">
        <v>0.20233185026269207</v>
      </c>
      <c r="Q27" s="3">
        <v>8.9835341516635275E-2</v>
      </c>
      <c r="U27" s="3">
        <v>0.2204378105540904</v>
      </c>
      <c r="V27" s="3">
        <v>2.2925532297625398E-3</v>
      </c>
      <c r="Z27" s="3">
        <v>0.34862796297240767</v>
      </c>
      <c r="AA27" s="3">
        <v>9.1340526298770812E-3</v>
      </c>
      <c r="AE27" s="3">
        <v>0.12917933130699089</v>
      </c>
      <c r="AF27" s="3">
        <v>2.1314589665653496E-3</v>
      </c>
      <c r="AJ27" s="3" t="s">
        <v>22</v>
      </c>
      <c r="AK27" s="3" t="e">
        <v>#VALUE!</v>
      </c>
      <c r="AO27" s="3">
        <v>0.37485714285714294</v>
      </c>
      <c r="AP27" s="3">
        <v>2.0617142857142862E-2</v>
      </c>
      <c r="AT27" s="3" t="s">
        <v>23</v>
      </c>
      <c r="AU27" s="3" t="e">
        <v>#VALUE!</v>
      </c>
      <c r="AV27" s="6" t="s">
        <v>0</v>
      </c>
      <c r="AW27" s="6" t="e">
        <v>#VALUE!</v>
      </c>
    </row>
    <row r="28" spans="2:49" x14ac:dyDescent="0.2">
      <c r="C28">
        <v>4</v>
      </c>
      <c r="D28" t="s">
        <v>6</v>
      </c>
      <c r="F28" s="3">
        <v>2.7745060340726337</v>
      </c>
      <c r="G28" s="3">
        <v>0.15696590207254482</v>
      </c>
      <c r="K28" s="3">
        <v>1.1762812245382779</v>
      </c>
      <c r="L28" s="3">
        <v>5.2241288534709461E-2</v>
      </c>
      <c r="P28" s="3">
        <v>0.1688842876429773</v>
      </c>
      <c r="Q28" s="3">
        <v>1.2868982718394871E-2</v>
      </c>
      <c r="U28" s="3">
        <v>0.24499668725451873</v>
      </c>
      <c r="V28" s="3">
        <v>5.9534195002848055E-3</v>
      </c>
      <c r="Z28" s="3">
        <v>0.23721717018162866</v>
      </c>
      <c r="AA28" s="3">
        <v>2.0400676635620066E-3</v>
      </c>
      <c r="AE28" s="3">
        <v>6.0030395136778145E-2</v>
      </c>
      <c r="AF28" s="3">
        <v>6.7834346504559294E-4</v>
      </c>
      <c r="AJ28" s="3" t="s">
        <v>22</v>
      </c>
      <c r="AK28" s="3" t="e">
        <v>#VALUE!</v>
      </c>
      <c r="AO28" s="3">
        <v>0.49670329670329683</v>
      </c>
      <c r="AP28" s="3">
        <v>1.6887912087912092E-2</v>
      </c>
      <c r="AT28" s="3" t="s">
        <v>23</v>
      </c>
      <c r="AU28" s="3" t="e">
        <v>#VALUE!</v>
      </c>
      <c r="AV28" s="6" t="s">
        <v>0</v>
      </c>
      <c r="AW28" s="6" t="e">
        <v>#VALUE!</v>
      </c>
    </row>
    <row r="29" spans="2:49" x14ac:dyDescent="0.2">
      <c r="C29">
        <v>4</v>
      </c>
      <c r="D29" t="s">
        <v>7</v>
      </c>
      <c r="F29" s="3">
        <v>1.8299210969093513</v>
      </c>
      <c r="G29" s="3">
        <v>0.10849493589169851</v>
      </c>
      <c r="K29" s="3">
        <v>1.4862154274073389</v>
      </c>
      <c r="L29" s="3">
        <v>5.5238556771435243E-2</v>
      </c>
      <c r="P29" s="3">
        <v>0.12878606787919286</v>
      </c>
      <c r="Q29" s="3">
        <v>6.1302168310495798E-3</v>
      </c>
      <c r="U29" s="3">
        <v>0.26859623283383655</v>
      </c>
      <c r="V29" s="3">
        <v>8.1116062315818634E-3</v>
      </c>
      <c r="Z29" s="3">
        <v>0.45030453113780644</v>
      </c>
      <c r="AA29" s="3">
        <v>9.501425607007714E-3</v>
      </c>
      <c r="AE29" s="3">
        <v>0.27711246200607909</v>
      </c>
      <c r="AF29" s="3">
        <v>2.4773854103343467E-2</v>
      </c>
      <c r="AJ29" s="3" t="s">
        <v>22</v>
      </c>
      <c r="AK29" s="3" t="e">
        <v>#VALUE!</v>
      </c>
      <c r="AO29" s="3">
        <v>0.10584615384615391</v>
      </c>
      <c r="AP29" s="3">
        <v>1.2563938461538467E-2</v>
      </c>
      <c r="AT29" s="3" t="s">
        <v>23</v>
      </c>
      <c r="AU29" s="3" t="e">
        <v>#VALUE!</v>
      </c>
      <c r="AV29" s="6" t="s">
        <v>0</v>
      </c>
      <c r="AW29" s="6" t="e">
        <v>#VALUE!</v>
      </c>
    </row>
    <row r="30" spans="2:49" ht="16" x14ac:dyDescent="0.2">
      <c r="C30">
        <v>4</v>
      </c>
      <c r="D30" t="s">
        <v>8</v>
      </c>
      <c r="F30" s="3">
        <v>4.3504863869218067</v>
      </c>
      <c r="G30" s="3">
        <v>0.10001061497735296</v>
      </c>
      <c r="K30" s="3">
        <v>1.1294365942026763</v>
      </c>
      <c r="L30" s="3">
        <v>4.7380268919891749E-2</v>
      </c>
      <c r="P30" s="3" t="s">
        <v>24</v>
      </c>
      <c r="Q30" s="3" t="e">
        <v>#VALUE!</v>
      </c>
      <c r="U30" s="3">
        <v>0.30244143478661434</v>
      </c>
      <c r="V30" s="3">
        <v>4.2462777444040652E-2</v>
      </c>
      <c r="Z30" s="3">
        <v>0.28565789745940823</v>
      </c>
      <c r="AA30" s="3">
        <v>4.2277368823992424E-3</v>
      </c>
      <c r="AE30" s="3">
        <v>0.16188449848024317</v>
      </c>
      <c r="AF30" s="3">
        <v>9.6645045592705162E-3</v>
      </c>
      <c r="AJ30" s="3" t="s">
        <v>22</v>
      </c>
      <c r="AK30" s="3" t="e">
        <v>#VALUE!</v>
      </c>
      <c r="AO30" s="8">
        <v>0</v>
      </c>
      <c r="AP30" s="3" t="e">
        <v>#VALUE!</v>
      </c>
      <c r="AT30" s="3" t="s">
        <v>23</v>
      </c>
      <c r="AU30" s="3" t="e">
        <v>#VALUE!</v>
      </c>
      <c r="AV30" s="6" t="s">
        <v>0</v>
      </c>
      <c r="AW30" s="6" t="e">
        <v>#VALUE!</v>
      </c>
    </row>
    <row r="31" spans="2:49" x14ac:dyDescent="0.2">
      <c r="F31" s="3"/>
      <c r="AE31" s="3"/>
    </row>
    <row r="32" spans="2:49" ht="16" x14ac:dyDescent="0.2">
      <c r="B32" s="2">
        <v>45817</v>
      </c>
      <c r="C32">
        <v>5</v>
      </c>
      <c r="D32" t="s">
        <v>4</v>
      </c>
      <c r="F32" s="3">
        <v>6.6069991854696584</v>
      </c>
      <c r="G32" s="3">
        <v>0.17137877128417092</v>
      </c>
      <c r="H32" s="3">
        <f>AVERAGE(F32:F36)</f>
        <v>3.7744545495024893</v>
      </c>
      <c r="I32" s="3">
        <f>STDEV(F32:F36)</f>
        <v>1.7412279022994808</v>
      </c>
      <c r="K32" s="3">
        <v>1.6334088523483399</v>
      </c>
      <c r="L32" s="3">
        <v>3.3742224921367484E-2</v>
      </c>
      <c r="M32" s="3">
        <f>AVERAGE(K32:K36)</f>
        <v>1.3593601684585299</v>
      </c>
      <c r="N32" s="3">
        <f>STDEV(K32:K36)</f>
        <v>0.22424700570655529</v>
      </c>
      <c r="P32" s="8">
        <v>0</v>
      </c>
      <c r="Q32" s="3" t="e">
        <v>#VALUE!</v>
      </c>
      <c r="R32" s="3">
        <f>AVERAGE(P32:P36)</f>
        <v>0.10962042997939739</v>
      </c>
      <c r="S32" s="3">
        <f>STDEV(P32:P36)</f>
        <v>6.8039780420466503E-2</v>
      </c>
      <c r="T32" s="3"/>
      <c r="U32" s="3">
        <v>0.16750191929121405</v>
      </c>
      <c r="V32" s="3">
        <v>2.4120276377934823E-3</v>
      </c>
      <c r="W32" s="3">
        <f>AVERAGE(U32:U36)</f>
        <v>0.23099429021079015</v>
      </c>
      <c r="X32" s="3">
        <f>STDEV(U32:U36)</f>
        <v>5.1837139821942081E-2</v>
      </c>
      <c r="Y32" s="4"/>
      <c r="Z32" s="3">
        <v>0.31427018197217521</v>
      </c>
      <c r="AA32" s="3">
        <v>7.0082250579795074E-3</v>
      </c>
      <c r="AB32" s="3">
        <f>AVERAGE(Z32:Z36)</f>
        <v>0.33086444300514584</v>
      </c>
      <c r="AC32" s="3">
        <f>STDEV(Z32:Z36)</f>
        <v>8.8033740290472534E-2</v>
      </c>
      <c r="AE32" s="3">
        <v>0.12927051671732526</v>
      </c>
      <c r="AF32" s="3">
        <v>3.6195744680851075E-4</v>
      </c>
      <c r="AG32" s="3">
        <f>AVERAGE(AE32:AE36)</f>
        <v>0.15883890577507601</v>
      </c>
      <c r="AH32" s="3">
        <f>STDEV(AE32:AE36)</f>
        <v>8.9832551386179293E-2</v>
      </c>
      <c r="AJ32" s="3" t="s">
        <v>22</v>
      </c>
      <c r="AK32" s="3" t="e">
        <v>#VALUE!</v>
      </c>
      <c r="AL32" s="3" t="e">
        <f>AVERAGE(AJ32:AJ36)</f>
        <v>#DIV/0!</v>
      </c>
      <c r="AM32" s="3" t="e">
        <f>STDEV(AJ32:AJ36)</f>
        <v>#DIV/0!</v>
      </c>
      <c r="AN32" s="3"/>
      <c r="AO32" s="3">
        <v>0.18021978021978027</v>
      </c>
      <c r="AP32" s="3">
        <v>2.2311208791208799E-2</v>
      </c>
      <c r="AQ32" s="3">
        <f>AVERAGE(AO32:AO36)</f>
        <v>0.22072967032967039</v>
      </c>
      <c r="AR32" s="3">
        <f>STDEV(AO32:AO36)</f>
        <v>0.12579274275063901</v>
      </c>
      <c r="AT32" s="3" t="s">
        <v>23</v>
      </c>
      <c r="AU32" s="3" t="e">
        <v>#VALUE!</v>
      </c>
      <c r="AV32" s="3" t="s">
        <v>0</v>
      </c>
      <c r="AW32" s="3" t="e">
        <v>#VALUE!</v>
      </c>
    </row>
    <row r="33" spans="2:49" x14ac:dyDescent="0.2">
      <c r="C33">
        <v>5</v>
      </c>
      <c r="D33" t="s">
        <v>5</v>
      </c>
      <c r="F33" s="3">
        <v>4.0150062130750648</v>
      </c>
      <c r="G33" s="3">
        <v>0.22696883091729608</v>
      </c>
      <c r="K33" s="3">
        <v>1.2701730565839051</v>
      </c>
      <c r="L33" s="3">
        <v>9.5549993844776818E-2</v>
      </c>
      <c r="P33" s="3">
        <v>0.18788882652485056</v>
      </c>
      <c r="Q33" s="3">
        <v>1.2532184729207531E-2</v>
      </c>
      <c r="U33" s="3">
        <v>0.22958982944948439</v>
      </c>
      <c r="V33" s="3">
        <v>4.3392477765952552E-3</v>
      </c>
      <c r="Z33" s="3">
        <v>0.36430928045323469</v>
      </c>
      <c r="AA33" s="3">
        <v>4.2259876532575224E-3</v>
      </c>
      <c r="AE33" s="3">
        <v>0.15182370820668697</v>
      </c>
      <c r="AF33" s="3">
        <v>3.9474164133738616E-3</v>
      </c>
      <c r="AJ33" s="3" t="s">
        <v>22</v>
      </c>
      <c r="AK33" s="3" t="e">
        <v>#VALUE!</v>
      </c>
      <c r="AO33" s="3">
        <v>0.33054945054945067</v>
      </c>
      <c r="AP33" s="3">
        <v>1.8742153846153853E-2</v>
      </c>
      <c r="AT33" s="3" t="s">
        <v>23</v>
      </c>
      <c r="AU33" s="3" t="e">
        <v>#VALUE!</v>
      </c>
      <c r="AV33" s="6" t="s">
        <v>0</v>
      </c>
      <c r="AW33" s="6" t="e">
        <v>#VALUE!</v>
      </c>
    </row>
    <row r="34" spans="2:49" x14ac:dyDescent="0.2">
      <c r="C34">
        <v>5</v>
      </c>
      <c r="D34" t="s">
        <v>6</v>
      </c>
      <c r="F34" s="3">
        <v>2.5887870330534577</v>
      </c>
      <c r="G34" s="3">
        <v>0.1527260720093207</v>
      </c>
      <c r="K34" s="3">
        <v>1.1011019232050883</v>
      </c>
      <c r="L34" s="3">
        <v>7.8787362361366117E-2</v>
      </c>
      <c r="P34" s="3">
        <v>0.12512674271989085</v>
      </c>
      <c r="Q34" s="3">
        <v>4.1416951840283871E-3</v>
      </c>
      <c r="U34" s="3">
        <v>0.20700717485854367</v>
      </c>
      <c r="V34" s="3">
        <v>4.0366399097416013E-3</v>
      </c>
      <c r="Z34" s="3">
        <v>0.21498397074141121</v>
      </c>
      <c r="AA34" s="3">
        <v>1.423193886308142E-2</v>
      </c>
      <c r="AE34" s="3">
        <v>6.182370820668695E-2</v>
      </c>
      <c r="AF34" s="3">
        <v>6.4914893617021296E-4</v>
      </c>
      <c r="AJ34" s="3" t="s">
        <v>22</v>
      </c>
      <c r="AK34" s="3" t="e">
        <v>#VALUE!</v>
      </c>
      <c r="AO34" s="3">
        <v>0.37327472527472538</v>
      </c>
      <c r="AP34" s="3">
        <v>3.9753758241758252E-2</v>
      </c>
      <c r="AT34" s="3" t="s">
        <v>23</v>
      </c>
      <c r="AU34" s="3" t="e">
        <v>#VALUE!</v>
      </c>
      <c r="AV34" s="6" t="s">
        <v>0</v>
      </c>
      <c r="AW34" s="6" t="e">
        <v>#VALUE!</v>
      </c>
    </row>
    <row r="35" spans="2:49" x14ac:dyDescent="0.2">
      <c r="C35">
        <v>5</v>
      </c>
      <c r="D35" t="s">
        <v>7</v>
      </c>
      <c r="F35" s="3">
        <v>2.1752544417859085</v>
      </c>
      <c r="G35" s="3">
        <v>3.8585618646697517E-2</v>
      </c>
      <c r="K35" s="3">
        <v>1.5521017669388173</v>
      </c>
      <c r="L35" s="3">
        <v>3.2630188366671253E-2</v>
      </c>
      <c r="P35" s="3">
        <v>0.1196736829006837</v>
      </c>
      <c r="Q35" s="3">
        <v>3.3747978577992801E-3</v>
      </c>
      <c r="U35" s="3">
        <v>0.24234893336025379</v>
      </c>
      <c r="V35" s="3">
        <v>1.7206774268578018E-3</v>
      </c>
      <c r="Z35" s="3">
        <v>0.45545963826189834</v>
      </c>
      <c r="AA35" s="3">
        <v>2.1042235287699704E-2</v>
      </c>
      <c r="AE35" s="3">
        <v>0.30632218844984799</v>
      </c>
      <c r="AF35" s="3">
        <v>1.1701507598784192E-2</v>
      </c>
      <c r="AJ35" s="3" t="s">
        <v>22</v>
      </c>
      <c r="AK35" s="3" t="e">
        <v>#VALUE!</v>
      </c>
      <c r="AO35" s="3">
        <v>0.13907692307692313</v>
      </c>
      <c r="AP35" s="3">
        <v>5.3739323076923098E-2</v>
      </c>
      <c r="AT35" s="3" t="s">
        <v>23</v>
      </c>
      <c r="AU35" s="3" t="e">
        <v>#VALUE!</v>
      </c>
      <c r="AV35" s="6" t="s">
        <v>0</v>
      </c>
      <c r="AW35" s="6" t="e">
        <v>#VALUE!</v>
      </c>
    </row>
    <row r="36" spans="2:49" x14ac:dyDescent="0.2">
      <c r="C36">
        <v>5</v>
      </c>
      <c r="D36" t="s">
        <v>8</v>
      </c>
      <c r="F36" s="3">
        <v>3.48622587412836</v>
      </c>
      <c r="G36" s="3">
        <v>5.7633851087628717E-2</v>
      </c>
      <c r="K36" s="3">
        <v>1.240015243216499</v>
      </c>
      <c r="L36" s="3">
        <v>7.5971863871506035E-2</v>
      </c>
      <c r="P36" s="3">
        <v>0.11541289775156184</v>
      </c>
      <c r="Q36" s="3">
        <v>7.6437962180859409E-2</v>
      </c>
      <c r="U36" s="3">
        <v>0.30852359409445484</v>
      </c>
      <c r="V36" s="3">
        <v>8.3980122312510605E-2</v>
      </c>
      <c r="Z36" s="3">
        <v>0.30529914359700971</v>
      </c>
      <c r="AA36" s="3">
        <v>1.4623828978296765E-2</v>
      </c>
      <c r="AE36" s="3">
        <v>0.14495440729483283</v>
      </c>
      <c r="AF36" s="3">
        <v>3.6818419452887539E-3</v>
      </c>
      <c r="AJ36" s="3" t="s">
        <v>22</v>
      </c>
      <c r="AK36" s="3" t="e">
        <v>#VALUE!</v>
      </c>
      <c r="AO36" s="3">
        <v>8.0527472527472582E-2</v>
      </c>
      <c r="AP36" s="3">
        <v>1.7780465934065945E-2</v>
      </c>
      <c r="AT36" s="3" t="s">
        <v>23</v>
      </c>
      <c r="AU36" s="3" t="e">
        <v>#VALUE!</v>
      </c>
      <c r="AV36" s="6" t="s">
        <v>0</v>
      </c>
      <c r="AW36" s="6" t="e">
        <v>#VALUE!</v>
      </c>
    </row>
    <row r="37" spans="2:49" x14ac:dyDescent="0.2">
      <c r="F37" s="3"/>
      <c r="AE37" s="3"/>
    </row>
    <row r="38" spans="2:49" x14ac:dyDescent="0.2">
      <c r="B38" s="2">
        <v>45818</v>
      </c>
      <c r="C38">
        <v>6</v>
      </c>
      <c r="D38" t="s">
        <v>4</v>
      </c>
      <c r="F38" s="3">
        <v>6.1663703738701194</v>
      </c>
      <c r="G38" s="3">
        <v>7.3517000615969552E-2</v>
      </c>
      <c r="H38" s="3">
        <f>AVERAGE(F38:F42)</f>
        <v>3.4434504635728564</v>
      </c>
      <c r="I38" s="3">
        <f>STDEV(F38:F42)</f>
        <v>1.7212881341650998</v>
      </c>
      <c r="K38" s="3">
        <v>1.6764046265698813</v>
      </c>
      <c r="L38" s="3">
        <v>1.0760838203545217E-2</v>
      </c>
      <c r="M38" s="3">
        <f>AVERAGE(K38:K42)</f>
        <v>1.3285186767024419</v>
      </c>
      <c r="N38" s="3">
        <f>STDEV(K38:K42)</f>
        <v>0.24062966151126614</v>
      </c>
      <c r="P38" s="3">
        <v>8.7285328581625077E-2</v>
      </c>
      <c r="Q38" s="3">
        <v>1.8591774987886142E-3</v>
      </c>
      <c r="R38" s="3">
        <f>AVERAGE(P38:P42)</f>
        <v>0.11551615725423889</v>
      </c>
      <c r="S38" s="3">
        <f>STDEV(P38:P42)</f>
        <v>3.8579126357656514E-2</v>
      </c>
      <c r="T38" s="3"/>
      <c r="U38" s="3">
        <v>0.177747575664674</v>
      </c>
      <c r="V38" s="3">
        <v>3.4127534527617406E-3</v>
      </c>
      <c r="W38" s="3">
        <f>AVERAGE(U38:U42)</f>
        <v>0.2131238700867441</v>
      </c>
      <c r="X38" s="3">
        <f>STDEV(U38:U42)</f>
        <v>2.9936235906750014E-2</v>
      </c>
      <c r="Y38" s="4"/>
      <c r="Z38" s="3">
        <v>0.32597717105565754</v>
      </c>
      <c r="AA38" s="3">
        <v>1.0822442079047831E-2</v>
      </c>
      <c r="AB38" s="3">
        <f>AVERAGE(Z38:Z42)</f>
        <v>0.4928672843148757</v>
      </c>
      <c r="AC38" s="3">
        <f>STDEV(Z38:Z42)</f>
        <v>0.36187770038795275</v>
      </c>
      <c r="AE38" s="3">
        <v>0.1280547112462006</v>
      </c>
      <c r="AF38" s="3">
        <v>2.2153465045592702E-3</v>
      </c>
      <c r="AG38" s="3">
        <f>AVERAGE(AE38:AE42)</f>
        <v>0.14956231003039513</v>
      </c>
      <c r="AH38" s="3">
        <f>STDEV(AE38:AE42)</f>
        <v>6.9595978381984253E-2</v>
      </c>
      <c r="AJ38" s="3" t="s">
        <v>22</v>
      </c>
      <c r="AK38" s="3" t="e">
        <v>#VALUE!</v>
      </c>
      <c r="AL38" s="3" t="e">
        <f>AVERAGE(AJ38:AJ42)</f>
        <v>#DIV/0!</v>
      </c>
      <c r="AM38" s="3" t="e">
        <f>STDEV(AJ38:AJ42)</f>
        <v>#DIV/0!</v>
      </c>
      <c r="AN38" s="3"/>
      <c r="AO38" s="3">
        <v>0.15648351648351655</v>
      </c>
      <c r="AP38" s="3">
        <v>4.9652219780219803E-2</v>
      </c>
      <c r="AQ38" s="3">
        <f>AVERAGE(AO38:AO42)</f>
        <v>0.22041318681318689</v>
      </c>
      <c r="AR38" s="3">
        <f>STDEV(AO38:AO42)</f>
        <v>8.759649727576839E-2</v>
      </c>
      <c r="AT38" s="3" t="s">
        <v>23</v>
      </c>
      <c r="AU38" s="3" t="e">
        <v>#VALUE!</v>
      </c>
      <c r="AV38" s="3" t="s">
        <v>0</v>
      </c>
      <c r="AW38" s="3" t="e">
        <v>#VALUE!</v>
      </c>
    </row>
    <row r="39" spans="2:49" x14ac:dyDescent="0.2">
      <c r="C39">
        <v>6</v>
      </c>
      <c r="D39" t="s">
        <v>5</v>
      </c>
      <c r="F39" s="3">
        <v>4.0036422745379046</v>
      </c>
      <c r="G39" s="3">
        <v>0.18829555887516813</v>
      </c>
      <c r="K39" s="3">
        <v>1.3020020837903112</v>
      </c>
      <c r="L39" s="3">
        <v>7.2072607421277302E-2</v>
      </c>
      <c r="P39" s="3">
        <v>0.18151494742919358</v>
      </c>
      <c r="Q39" s="3">
        <v>2.007555318566881E-2</v>
      </c>
      <c r="U39" s="3">
        <v>0.23453997803441448</v>
      </c>
      <c r="V39" s="3">
        <v>2.6972097473957667E-3</v>
      </c>
      <c r="Z39" s="3">
        <v>0.36327249913218823</v>
      </c>
      <c r="AA39" s="3">
        <v>1.1624719972230023E-3</v>
      </c>
      <c r="AE39" s="3">
        <v>0.13395136778115502</v>
      </c>
      <c r="AF39" s="3">
        <v>1.393094224924012E-3</v>
      </c>
      <c r="AJ39" s="3" t="s">
        <v>22</v>
      </c>
      <c r="AK39" s="3" t="e">
        <v>#VALUE!</v>
      </c>
      <c r="AO39" s="3">
        <v>0.26408791208791216</v>
      </c>
      <c r="AP39" s="3">
        <v>1.6822400000000005E-2</v>
      </c>
      <c r="AT39" s="3" t="s">
        <v>23</v>
      </c>
      <c r="AU39" s="3" t="e">
        <v>#VALUE!</v>
      </c>
      <c r="AV39" s="6" t="s">
        <v>0</v>
      </c>
      <c r="AW39" s="6" t="e">
        <v>#VALUE!</v>
      </c>
    </row>
    <row r="40" spans="2:49" x14ac:dyDescent="0.2">
      <c r="C40">
        <v>6</v>
      </c>
      <c r="D40" t="s">
        <v>6</v>
      </c>
      <c r="F40" s="3">
        <v>2.4236761500479069</v>
      </c>
      <c r="G40" s="3">
        <v>0.1276292046440318</v>
      </c>
      <c r="K40" s="3">
        <v>1.0484080444329871</v>
      </c>
      <c r="L40" s="3">
        <v>2.8200012197675293E-2</v>
      </c>
      <c r="P40" s="3">
        <v>0.1135579525617193</v>
      </c>
      <c r="Q40" s="3">
        <v>2.1008221223918072E-3</v>
      </c>
      <c r="U40" s="3">
        <v>0.18507686542995805</v>
      </c>
      <c r="V40" s="3">
        <v>1.1289688791227439E-3</v>
      </c>
      <c r="Z40" s="3">
        <v>0.21910229654445665</v>
      </c>
      <c r="AA40" s="3">
        <v>7.1646450970037322E-3</v>
      </c>
      <c r="AE40" s="3">
        <v>7.2705167173252289E-2</v>
      </c>
      <c r="AF40" s="3">
        <v>1.8539817629179332E-3</v>
      </c>
      <c r="AJ40" s="3" t="s">
        <v>22</v>
      </c>
      <c r="AK40" s="3" t="e">
        <v>#VALUE!</v>
      </c>
      <c r="AO40" s="3">
        <v>0.31947252747252752</v>
      </c>
      <c r="AP40" s="3">
        <v>1.7986303296703299E-2</v>
      </c>
      <c r="AT40" s="3" t="s">
        <v>23</v>
      </c>
      <c r="AU40" s="3" t="e">
        <v>#VALUE!</v>
      </c>
      <c r="AV40" s="6" t="s">
        <v>0</v>
      </c>
      <c r="AW40" s="6" t="e">
        <v>#VALUE!</v>
      </c>
    </row>
    <row r="41" spans="2:49" x14ac:dyDescent="0.2">
      <c r="C41">
        <v>6</v>
      </c>
      <c r="D41" t="s">
        <v>7</v>
      </c>
      <c r="F41" s="3">
        <v>1.8009315374531691</v>
      </c>
      <c r="G41" s="3">
        <v>0.16103172122721129</v>
      </c>
      <c r="K41" s="3">
        <v>1.4315211563127987</v>
      </c>
      <c r="L41" s="3">
        <v>8.6745239429857748E-2</v>
      </c>
      <c r="P41" s="3">
        <v>0.10643091781509326</v>
      </c>
      <c r="Q41" s="3">
        <v>1.8518979699826226E-3</v>
      </c>
      <c r="U41" s="3">
        <v>0.22398733570219917</v>
      </c>
      <c r="V41" s="3">
        <v>1.6575062841962739E-3</v>
      </c>
      <c r="Z41" s="3">
        <v>0.43040408966994342</v>
      </c>
      <c r="AA41" s="3">
        <v>1.338556718873524E-2</v>
      </c>
      <c r="AE41" s="3">
        <v>0.26252279635258363</v>
      </c>
      <c r="AF41" s="3">
        <v>4.9511799392097273E-2</v>
      </c>
      <c r="AJ41" s="3" t="s">
        <v>22</v>
      </c>
      <c r="AK41" s="3" t="e">
        <v>#VALUE!</v>
      </c>
      <c r="AO41" s="3">
        <v>0.10426373626373632</v>
      </c>
      <c r="AP41" s="3">
        <v>5.0995393406593433E-2</v>
      </c>
      <c r="AT41" s="3" t="s">
        <v>23</v>
      </c>
      <c r="AU41" s="3" t="e">
        <v>#VALUE!</v>
      </c>
      <c r="AV41" s="6" t="s">
        <v>0</v>
      </c>
      <c r="AW41" s="6" t="e">
        <v>#VALUE!</v>
      </c>
    </row>
    <row r="42" spans="2:49" x14ac:dyDescent="0.2">
      <c r="C42">
        <v>6</v>
      </c>
      <c r="D42" t="s">
        <v>8</v>
      </c>
      <c r="F42" s="3">
        <v>2.8226319819551833</v>
      </c>
      <c r="G42" s="3">
        <v>4.86678972507315E-2</v>
      </c>
      <c r="K42" s="3">
        <v>1.1842574724062316</v>
      </c>
      <c r="L42" s="3">
        <v>6.2313480850217935E-2</v>
      </c>
      <c r="P42" s="3">
        <v>8.8791639883563214E-2</v>
      </c>
      <c r="Q42" s="3">
        <v>2.5749575566233333E-4</v>
      </c>
      <c r="U42" s="3">
        <v>0.24426759560247477</v>
      </c>
      <c r="V42" s="3">
        <v>2.5721377816940592E-2</v>
      </c>
      <c r="Z42" s="3">
        <v>1.1255803651721326</v>
      </c>
      <c r="AA42" s="3">
        <v>1.1706035797790178E-2</v>
      </c>
      <c r="AE42" s="3">
        <v>0.15057750759878419</v>
      </c>
      <c r="AF42" s="3">
        <v>3.5385714285714282E-3</v>
      </c>
      <c r="AJ42" s="3" t="s">
        <v>22</v>
      </c>
      <c r="AK42" s="3" t="e">
        <v>#VALUE!</v>
      </c>
      <c r="AO42" s="3">
        <v>0.25775824175824186</v>
      </c>
      <c r="AP42" s="3">
        <v>2.7812114285714295E-2</v>
      </c>
      <c r="AT42" s="3" t="s">
        <v>23</v>
      </c>
      <c r="AU42" s="3" t="e">
        <v>#VALUE!</v>
      </c>
      <c r="AV42" s="6" t="s">
        <v>0</v>
      </c>
      <c r="AW42" s="6" t="e">
        <v>#VALUE!</v>
      </c>
    </row>
    <row r="43" spans="2:49" x14ac:dyDescent="0.2">
      <c r="F43" s="3"/>
      <c r="AE43" s="3"/>
    </row>
    <row r="44" spans="2:49" x14ac:dyDescent="0.2">
      <c r="B44" s="2">
        <v>45819</v>
      </c>
      <c r="C44">
        <v>7</v>
      </c>
      <c r="D44" t="s">
        <v>4</v>
      </c>
      <c r="F44" s="3">
        <v>5.8490857745756619</v>
      </c>
      <c r="G44" s="3">
        <v>8.0495847631359529E-2</v>
      </c>
      <c r="H44" s="3">
        <f>AVERAGE(F44:F48)</f>
        <v>3.1896032651772472</v>
      </c>
      <c r="I44" s="3">
        <f>STDEV(F44:F48)</f>
        <v>1.6448206026480072</v>
      </c>
      <c r="K44" s="3">
        <v>1.5918310777477682</v>
      </c>
      <c r="L44" s="3">
        <v>6.4508701659940562E-2</v>
      </c>
      <c r="M44" s="3">
        <f>AVERAGE(K44:K48)</f>
        <v>1.2794710826699771</v>
      </c>
      <c r="N44" s="3">
        <f>STDEV(K44:K48)</f>
        <v>0.24287263143556445</v>
      </c>
      <c r="P44" s="3">
        <v>7.9870870477032035E-2</v>
      </c>
      <c r="Q44" s="3">
        <v>4.5526396171908254E-4</v>
      </c>
      <c r="R44" s="3">
        <f>AVERAGE(P44:P48)</f>
        <v>0.11103235286995376</v>
      </c>
      <c r="S44" s="3">
        <f>STDEV(P44:P48)</f>
        <v>3.3974308437979855E-2</v>
      </c>
      <c r="T44" s="3"/>
      <c r="U44" s="3">
        <v>0.17258637423309961</v>
      </c>
      <c r="V44" s="3">
        <v>4.0212625196312211E-3</v>
      </c>
      <c r="W44" s="3">
        <f>AVERAGE(U44:U48)</f>
        <v>0.22004640345667736</v>
      </c>
      <c r="X44" s="3">
        <f>STDEV(U44:U48)</f>
        <v>7.2414924730558911E-2</v>
      </c>
      <c r="Y44" s="4"/>
      <c r="Z44" s="3">
        <v>0.3394985274509712</v>
      </c>
      <c r="AA44" s="3">
        <v>7.8763658368625304E-3</v>
      </c>
      <c r="AB44" s="3">
        <f>AVERAGE(Z44:Z48)</f>
        <v>0.33190698422242021</v>
      </c>
      <c r="AC44" s="3">
        <f>STDEV(Z44:Z48)</f>
        <v>9.5035481626261145E-2</v>
      </c>
      <c r="AE44" s="3">
        <v>0.11686930091185412</v>
      </c>
      <c r="AF44" s="3">
        <v>1.507613981762918E-3</v>
      </c>
      <c r="AG44" s="3">
        <f>AVERAGE(AE44:AE48)</f>
        <v>0.16125835866261401</v>
      </c>
      <c r="AH44" s="3">
        <f>STDEV(AE44:AE48)</f>
        <v>0.10794432735803466</v>
      </c>
      <c r="AJ44" s="3" t="s">
        <v>22</v>
      </c>
      <c r="AK44" s="3" t="e">
        <v>#VALUE!</v>
      </c>
      <c r="AL44" s="3" t="e">
        <f>AVERAGE(AJ44:AJ48)</f>
        <v>#DIV/0!</v>
      </c>
      <c r="AM44" s="3" t="e">
        <f>STDEV(AJ44:AJ48)</f>
        <v>#DIV/0!</v>
      </c>
      <c r="AN44" s="3"/>
      <c r="AO44" s="3">
        <v>0.15964835164835173</v>
      </c>
      <c r="AP44" s="3">
        <v>5.252430769230771E-2</v>
      </c>
      <c r="AQ44" s="3">
        <f>AVERAGE(AO44:AO48)</f>
        <v>0.14639120879120887</v>
      </c>
      <c r="AR44" s="3">
        <f>STDEV(AO44:AO48)</f>
        <v>9.7830758146218194E-2</v>
      </c>
      <c r="AT44" s="3">
        <v>0.43160541173543249</v>
      </c>
      <c r="AU44" s="3">
        <v>1.7307377010590843E-2</v>
      </c>
      <c r="AV44" s="3">
        <v>0.43160541173543249</v>
      </c>
      <c r="AW44" s="3">
        <v>1.7307377010590843E-2</v>
      </c>
    </row>
    <row r="45" spans="2:49" x14ac:dyDescent="0.2">
      <c r="C45">
        <v>7</v>
      </c>
      <c r="D45" t="s">
        <v>5</v>
      </c>
      <c r="F45" s="3">
        <v>3.712930787446278</v>
      </c>
      <c r="G45" s="3">
        <v>0.20311399951256395</v>
      </c>
      <c r="K45" s="3">
        <v>1.2778201259684197</v>
      </c>
      <c r="L45" s="3">
        <v>8.5850521243851785E-2</v>
      </c>
      <c r="P45" s="3">
        <v>0.16598876344419869</v>
      </c>
      <c r="Q45" s="3">
        <v>7.9840595216659569E-3</v>
      </c>
      <c r="U45" s="3">
        <v>0.19539926829310686</v>
      </c>
      <c r="V45" s="3">
        <v>2.1493919512241759E-3</v>
      </c>
      <c r="Z45" s="3">
        <v>0.3613285341552262</v>
      </c>
      <c r="AA45" s="3">
        <v>6.75684358870273E-3</v>
      </c>
      <c r="AE45" s="3">
        <v>0.14765957446808511</v>
      </c>
      <c r="AF45" s="3">
        <v>1.7571489361702128E-3</v>
      </c>
      <c r="AJ45" s="3" t="s">
        <v>22</v>
      </c>
      <c r="AK45" s="3" t="e">
        <v>#VALUE!</v>
      </c>
      <c r="AO45" s="3">
        <v>0.2071208791208792</v>
      </c>
      <c r="AP45" s="3">
        <v>2.4067446153846164E-2</v>
      </c>
      <c r="AT45" s="3" t="s">
        <v>23</v>
      </c>
      <c r="AU45" s="3" t="e">
        <v>#VALUE!</v>
      </c>
      <c r="AV45" s="6" t="s">
        <v>0</v>
      </c>
      <c r="AW45" s="6" t="e">
        <v>#VALUE!</v>
      </c>
    </row>
    <row r="46" spans="2:49" x14ac:dyDescent="0.2">
      <c r="C46">
        <v>7</v>
      </c>
      <c r="D46" t="s">
        <v>6</v>
      </c>
      <c r="F46" s="3">
        <v>2.310497412133333</v>
      </c>
      <c r="G46" s="3">
        <v>0.16592265014680796</v>
      </c>
      <c r="K46" s="3">
        <v>0.96631599494757092</v>
      </c>
      <c r="L46" s="3">
        <v>0.10049036327949619</v>
      </c>
      <c r="P46" s="3">
        <v>0.10528122438322528</v>
      </c>
      <c r="Q46" s="3">
        <v>3.737483465604497E-3</v>
      </c>
      <c r="U46" s="3">
        <v>0.1736032652214767</v>
      </c>
      <c r="V46" s="3">
        <v>5.65946644622014E-3</v>
      </c>
      <c r="Z46" s="3">
        <v>0.212852809137038</v>
      </c>
      <c r="AA46" s="3">
        <v>6.4920106786796588E-3</v>
      </c>
      <c r="AE46" s="3">
        <v>5.3343465045592731E-2</v>
      </c>
      <c r="AF46" s="3">
        <v>6.347872340425534E-4</v>
      </c>
      <c r="AJ46" s="3" t="s">
        <v>22</v>
      </c>
      <c r="AK46" s="3" t="e">
        <v>#VALUE!</v>
      </c>
      <c r="AO46" s="3">
        <v>0.25459340659340668</v>
      </c>
      <c r="AP46" s="3">
        <v>3.3631789010989024E-2</v>
      </c>
      <c r="AT46" s="3" t="s">
        <v>23</v>
      </c>
      <c r="AU46" s="3" t="e">
        <v>#VALUE!</v>
      </c>
      <c r="AV46" s="6" t="s">
        <v>0</v>
      </c>
      <c r="AW46" s="6" t="e">
        <v>#VALUE!</v>
      </c>
    </row>
    <row r="47" spans="2:49" x14ac:dyDescent="0.2">
      <c r="C47">
        <v>7</v>
      </c>
      <c r="D47" t="s">
        <v>7</v>
      </c>
      <c r="F47" s="3">
        <v>1.8817595509921199</v>
      </c>
      <c r="G47" s="3">
        <v>9.4968091176313732E-2</v>
      </c>
      <c r="K47" s="3">
        <v>1.4226586586817389</v>
      </c>
      <c r="L47" s="3">
        <v>0.10067480710699858</v>
      </c>
      <c r="P47" s="3">
        <v>0.11667170560636175</v>
      </c>
      <c r="Q47" s="3">
        <v>4.690202565375742E-3</v>
      </c>
      <c r="U47" s="3">
        <v>0.21249454887129562</v>
      </c>
      <c r="V47" s="3">
        <v>1.0072241616499413E-2</v>
      </c>
      <c r="Z47" s="3">
        <v>0.46690743201511914</v>
      </c>
      <c r="AA47" s="3">
        <v>6.0231058729950373E-3</v>
      </c>
      <c r="AE47" s="3">
        <v>0.34179331306990884</v>
      </c>
      <c r="AF47" s="3">
        <v>1.1450075987841948E-2</v>
      </c>
      <c r="AJ47" s="3" t="s">
        <v>22</v>
      </c>
      <c r="AK47" s="3" t="e">
        <v>#VALUE!</v>
      </c>
      <c r="AO47" s="3">
        <v>0.11059340659340665</v>
      </c>
      <c r="AP47" s="3">
        <v>2.4142540659340669E-2</v>
      </c>
      <c r="AT47" s="3" t="s">
        <v>23</v>
      </c>
      <c r="AU47" s="3" t="e">
        <v>#VALUE!</v>
      </c>
      <c r="AV47" s="6" t="s">
        <v>0</v>
      </c>
      <c r="AW47" s="6" t="e">
        <v>#VALUE!</v>
      </c>
    </row>
    <row r="48" spans="2:49" ht="16" x14ac:dyDescent="0.2">
      <c r="C48">
        <v>7</v>
      </c>
      <c r="D48" t="s">
        <v>8</v>
      </c>
      <c r="F48" s="3">
        <v>2.1937428007388418</v>
      </c>
      <c r="G48" s="3">
        <v>3.9087265540324614E-2</v>
      </c>
      <c r="K48" s="3">
        <v>1.1387295560043875</v>
      </c>
      <c r="L48" s="3">
        <v>3.8923015143659298E-2</v>
      </c>
      <c r="P48" s="3">
        <v>8.7349200438951072E-2</v>
      </c>
      <c r="Q48" s="3">
        <v>2.6379458532563224E-3</v>
      </c>
      <c r="U48" s="3">
        <v>0.34614856066440791</v>
      </c>
      <c r="V48" s="3">
        <v>0.16601284969465005</v>
      </c>
      <c r="Z48" s="3">
        <v>0.27894761835374676</v>
      </c>
      <c r="AA48" s="3">
        <v>4.6863199883429452E-3</v>
      </c>
      <c r="AE48" s="3">
        <v>0.14662613981762918</v>
      </c>
      <c r="AF48" s="3">
        <v>1.5557033434650456E-2</v>
      </c>
      <c r="AJ48" s="3" t="s">
        <v>22</v>
      </c>
      <c r="AK48" s="3" t="e">
        <v>#VALUE!</v>
      </c>
      <c r="AO48" s="8">
        <v>0</v>
      </c>
      <c r="AP48" s="3" t="e">
        <v>#VALUE!</v>
      </c>
      <c r="AT48" s="3" t="s">
        <v>23</v>
      </c>
      <c r="AU48" s="3" t="e">
        <v>#VALUE!</v>
      </c>
      <c r="AV48" s="6" t="s">
        <v>0</v>
      </c>
      <c r="AW48" s="6" t="e">
        <v>#VALUE!</v>
      </c>
    </row>
    <row r="49" spans="2:49" x14ac:dyDescent="0.2">
      <c r="F49" s="3"/>
      <c r="AE49" s="3"/>
      <c r="AT49" s="3" t="s">
        <v>0</v>
      </c>
    </row>
    <row r="50" spans="2:49" x14ac:dyDescent="0.2">
      <c r="B50" s="2">
        <v>45820</v>
      </c>
      <c r="C50">
        <v>8</v>
      </c>
      <c r="D50" t="s">
        <v>4</v>
      </c>
      <c r="F50" s="3">
        <v>5.5757851998425814</v>
      </c>
      <c r="G50" s="3">
        <v>8.817339466453615E-2</v>
      </c>
      <c r="H50" s="3">
        <f>AVERAGE(F50:F54)</f>
        <v>2.9788523690402506</v>
      </c>
      <c r="I50" s="3">
        <f>STDEV(F50:F54)</f>
        <v>1.5799657327121475</v>
      </c>
      <c r="K50" s="3">
        <v>1.4209621234209362</v>
      </c>
      <c r="L50" s="3">
        <v>7.5908918843201528E-2</v>
      </c>
      <c r="M50" s="3">
        <f>AVERAGE(K50:K54)</f>
        <v>1.1940872483501672</v>
      </c>
      <c r="N50" s="3">
        <f>STDEV(K50:K54)</f>
        <v>0.20367619232337361</v>
      </c>
      <c r="P50" s="3" t="s">
        <v>24</v>
      </c>
      <c r="Q50" s="3" t="e">
        <v>#VALUE!</v>
      </c>
      <c r="R50" s="3">
        <f>AVERAGE(P50:P54)</f>
        <v>0.12130951213553288</v>
      </c>
      <c r="S50" s="3">
        <f>STDEV(P50:P54)</f>
        <v>4.4918148671680064E-2</v>
      </c>
      <c r="T50" s="3"/>
      <c r="U50" s="3">
        <v>0.157064396693532</v>
      </c>
      <c r="V50" s="3">
        <v>4.1150871933705391E-3</v>
      </c>
      <c r="W50" s="3">
        <f>AVERAGE(U50:U54)</f>
        <v>0.17942448646437512</v>
      </c>
      <c r="X50" s="3">
        <f>STDEV(U50:U54)</f>
        <v>2.5882755780987921E-2</v>
      </c>
      <c r="Y50" s="4"/>
      <c r="Z50" s="3">
        <v>0.32846832617428301</v>
      </c>
      <c r="AA50" s="3">
        <v>8.5401764805313595E-3</v>
      </c>
      <c r="AB50" s="3">
        <f>AVERAGE(Z50:Z54)</f>
        <v>0.31704933190220241</v>
      </c>
      <c r="AC50" s="3">
        <f>STDEV(Z50:Z54)</f>
        <v>7.9439524655755961E-2</v>
      </c>
      <c r="AE50" s="3">
        <v>0.12468085106382978</v>
      </c>
      <c r="AF50" s="3">
        <v>1.1345957446808511E-2</v>
      </c>
      <c r="AG50" s="3">
        <f>AVERAGE(AE50:AE54)</f>
        <v>0.12325835866261396</v>
      </c>
      <c r="AH50" s="3">
        <f>STDEV(AE50:AE54)</f>
        <v>7.3062813532083104E-2</v>
      </c>
      <c r="AJ50" s="3" t="s">
        <v>22</v>
      </c>
      <c r="AK50" s="3" t="e">
        <v>#VALUE!</v>
      </c>
      <c r="AL50" s="3" t="e">
        <f>AVERAGE(AJ50:AJ54)</f>
        <v>#DIV/0!</v>
      </c>
      <c r="AM50" s="3" t="e">
        <f>STDEV(AJ50:AJ54)</f>
        <v>#DIV/0!</v>
      </c>
      <c r="AN50" s="3"/>
      <c r="AO50" s="3">
        <v>0.18496703296703304</v>
      </c>
      <c r="AP50" s="3">
        <v>1.7904808791208798E-2</v>
      </c>
      <c r="AQ50" s="3">
        <f>AVERAGE(AO50:AO54)</f>
        <v>0.15869890109890117</v>
      </c>
      <c r="AR50" s="3">
        <f>STDEV(AO50:AO54)</f>
        <v>7.0622642530327573E-2</v>
      </c>
      <c r="AT50" s="3" t="s">
        <v>23</v>
      </c>
      <c r="AU50" s="3" t="e">
        <v>#VALUE!</v>
      </c>
      <c r="AV50" s="3" t="s">
        <v>0</v>
      </c>
      <c r="AW50" s="3" t="e">
        <v>#VALUE!</v>
      </c>
    </row>
    <row r="51" spans="2:49" x14ac:dyDescent="0.2">
      <c r="C51">
        <v>8</v>
      </c>
      <c r="D51" t="s">
        <v>5</v>
      </c>
      <c r="F51" s="3">
        <v>3.3718447682751238</v>
      </c>
      <c r="G51" s="3">
        <v>0.10770614629377728</v>
      </c>
      <c r="K51" s="3">
        <v>1.184637293733277</v>
      </c>
      <c r="L51" s="3">
        <v>3.9999306628535014E-2</v>
      </c>
      <c r="P51" s="3">
        <v>0.17315571810165348</v>
      </c>
      <c r="Q51" s="3">
        <v>1.1757273259102271E-2</v>
      </c>
      <c r="U51" s="3">
        <v>0.22105178247160112</v>
      </c>
      <c r="V51" s="3">
        <v>8.046284881966282E-3</v>
      </c>
      <c r="Z51" s="3">
        <v>0.3751666848430818</v>
      </c>
      <c r="AA51" s="3">
        <v>4.0142835278209757E-3</v>
      </c>
      <c r="AE51" s="3">
        <v>0.15656534954407297</v>
      </c>
      <c r="AF51" s="3">
        <v>4.9944346504559277E-3</v>
      </c>
      <c r="AJ51" s="3" t="s">
        <v>22</v>
      </c>
      <c r="AK51" s="3" t="e">
        <v>#VALUE!</v>
      </c>
      <c r="AO51" s="3">
        <v>0.18180219780219786</v>
      </c>
      <c r="AP51" s="3">
        <v>6.2485415384615398E-2</v>
      </c>
      <c r="AT51" s="3" t="s">
        <v>23</v>
      </c>
      <c r="AU51" s="3" t="e">
        <v>#VALUE!</v>
      </c>
      <c r="AV51" s="6" t="s">
        <v>0</v>
      </c>
      <c r="AW51" s="6" t="e">
        <v>#VALUE!</v>
      </c>
    </row>
    <row r="52" spans="2:49" x14ac:dyDescent="0.2">
      <c r="C52">
        <v>8</v>
      </c>
      <c r="D52" t="s">
        <v>6</v>
      </c>
      <c r="F52" s="3">
        <v>2.248954131117078</v>
      </c>
      <c r="G52" s="3">
        <v>0.14488009777860691</v>
      </c>
      <c r="K52" s="3">
        <v>0.93109389721955915</v>
      </c>
      <c r="L52" s="3">
        <v>8.0745157794321454E-2</v>
      </c>
      <c r="P52" s="3">
        <v>9.4114294660729791E-2</v>
      </c>
      <c r="Q52" s="3">
        <v>4.978646187552606E-3</v>
      </c>
      <c r="U52" s="3">
        <v>0.15930923151693055</v>
      </c>
      <c r="V52" s="3">
        <v>5.4961684873341046E-3</v>
      </c>
      <c r="Z52" s="3">
        <v>0.20980006413617913</v>
      </c>
      <c r="AA52" s="3">
        <v>3.1889609748699229E-3</v>
      </c>
      <c r="AE52" s="3">
        <v>3.4802431610942278E-2</v>
      </c>
      <c r="AF52" s="3">
        <v>1.7401215805471138E-5</v>
      </c>
      <c r="AJ52" s="3" t="s">
        <v>22</v>
      </c>
      <c r="AK52" s="3" t="e">
        <v>#VALUE!</v>
      </c>
      <c r="AO52" s="3">
        <v>0.2514285714285715</v>
      </c>
      <c r="AP52" s="3">
        <v>4.8525714285714292E-3</v>
      </c>
      <c r="AT52" s="3" t="s">
        <v>23</v>
      </c>
      <c r="AU52" s="3" t="e">
        <v>#VALUE!</v>
      </c>
      <c r="AV52" s="6" t="s">
        <v>0</v>
      </c>
      <c r="AW52" s="6" t="e">
        <v>#VALUE!</v>
      </c>
    </row>
    <row r="53" spans="2:49" x14ac:dyDescent="0.2">
      <c r="C53">
        <v>8</v>
      </c>
      <c r="D53" t="s">
        <v>7</v>
      </c>
      <c r="F53" s="3">
        <v>1.8437756547480246</v>
      </c>
      <c r="G53" s="3">
        <v>5.532831896576438E-2</v>
      </c>
      <c r="K53" s="3">
        <v>1.3654828882505019</v>
      </c>
      <c r="L53" s="3">
        <v>7.1973924200925216E-2</v>
      </c>
      <c r="P53" s="3">
        <v>9.6658523644215413E-2</v>
      </c>
      <c r="Q53" s="3">
        <v>1.1405705790017418E-3</v>
      </c>
      <c r="U53" s="3">
        <v>0.17527250137220896</v>
      </c>
      <c r="V53" s="3">
        <v>2.0682155161920656E-3</v>
      </c>
      <c r="Z53" s="3">
        <v>0.40490214912031569</v>
      </c>
      <c r="AA53" s="3">
        <v>8.30049405696647E-3</v>
      </c>
      <c r="AE53" s="3">
        <v>0.22419452887537994</v>
      </c>
      <c r="AF53" s="3">
        <v>4.694633434650456E-2</v>
      </c>
      <c r="AJ53" s="3" t="s">
        <v>22</v>
      </c>
      <c r="AK53" s="3" t="e">
        <v>#VALUE!</v>
      </c>
      <c r="AO53" s="3">
        <v>8.3692307692307746E-2</v>
      </c>
      <c r="AP53" s="3">
        <v>8.7374769230769284E-3</v>
      </c>
      <c r="AT53" s="3" t="s">
        <v>23</v>
      </c>
      <c r="AU53" s="3" t="e">
        <v>#VALUE!</v>
      </c>
      <c r="AV53" s="6" t="s">
        <v>0</v>
      </c>
      <c r="AW53" s="6" t="e">
        <v>#VALUE!</v>
      </c>
    </row>
    <row r="54" spans="2:49" x14ac:dyDescent="0.2">
      <c r="C54">
        <v>8</v>
      </c>
      <c r="D54" t="s">
        <v>8</v>
      </c>
      <c r="F54" s="3">
        <v>1.8539020912184447</v>
      </c>
      <c r="G54" s="3">
        <v>2.0307817332397254E-2</v>
      </c>
      <c r="K54" s="3">
        <v>1.0682600391265611</v>
      </c>
      <c r="L54" s="3">
        <v>6.6161138270333542E-2</v>
      </c>
      <c r="P54" s="3" t="s">
        <v>24</v>
      </c>
      <c r="Q54" s="3" t="e">
        <v>#VALUE!</v>
      </c>
      <c r="U54" s="3">
        <v>0.18442452026760295</v>
      </c>
      <c r="V54" s="3">
        <v>5.256098827626684E-3</v>
      </c>
      <c r="Z54" s="3">
        <v>0.26690943523715233</v>
      </c>
      <c r="AA54" s="3">
        <v>5.5250253094090533E-3</v>
      </c>
      <c r="AE54" s="3">
        <v>7.6048632218845003E-2</v>
      </c>
      <c r="AF54" s="3">
        <v>6.9964741641337402E-4</v>
      </c>
      <c r="AJ54" s="3" t="s">
        <v>22</v>
      </c>
      <c r="AK54" s="3" t="e">
        <v>#VALUE!</v>
      </c>
      <c r="AO54" s="3">
        <v>9.1604395604395664E-2</v>
      </c>
      <c r="AP54" s="3">
        <v>3.3728738461538489E-2</v>
      </c>
      <c r="AT54" s="3" t="s">
        <v>23</v>
      </c>
      <c r="AU54" s="3" t="e">
        <v>#VALUE!</v>
      </c>
      <c r="AV54" s="6" t="s">
        <v>0</v>
      </c>
      <c r="AW54" s="6" t="e">
        <v>#VALUE!</v>
      </c>
    </row>
    <row r="55" spans="2:49" x14ac:dyDescent="0.2">
      <c r="F55" s="3"/>
      <c r="AE55" s="3"/>
    </row>
    <row r="56" spans="2:49" x14ac:dyDescent="0.2">
      <c r="B56" s="2">
        <v>45821</v>
      </c>
      <c r="C56">
        <v>9</v>
      </c>
      <c r="D56" t="s">
        <v>4</v>
      </c>
      <c r="F56" s="3">
        <v>5.2595663357664826</v>
      </c>
      <c r="G56" s="3">
        <v>0.16338916011962376</v>
      </c>
      <c r="H56" s="3">
        <f>AVERAGE(F56:F60)</f>
        <v>2.7688994079898208</v>
      </c>
      <c r="I56" s="3">
        <f>STDEV(F56:F60)</f>
        <v>1.4880875850490725</v>
      </c>
      <c r="K56" s="3">
        <v>1.4802902147054304</v>
      </c>
      <c r="L56" s="3">
        <v>5.665536964356236E-2</v>
      </c>
      <c r="M56" s="3">
        <f>AVERAGE(K56:K60)</f>
        <v>1.1900560779991252</v>
      </c>
      <c r="N56" s="3">
        <f>STDEV(K56:K60)</f>
        <v>0.21140229904018479</v>
      </c>
      <c r="P56" s="3" t="s">
        <v>24</v>
      </c>
      <c r="Q56" s="3" t="e">
        <v>#VALUE!</v>
      </c>
      <c r="R56" s="3">
        <f>AVERAGE(P56:P60)</f>
        <v>0.10823441067542321</v>
      </c>
      <c r="S56" s="3">
        <f>STDEV(P56:P60)</f>
        <v>1.6882516695304696E-2</v>
      </c>
      <c r="T56" s="3"/>
      <c r="U56" s="3">
        <v>0.15222936784313518</v>
      </c>
      <c r="V56" s="3">
        <v>2.9684726729411358E-3</v>
      </c>
      <c r="W56" s="3">
        <f>AVERAGE(U56:U60)</f>
        <v>0.17684964173531459</v>
      </c>
      <c r="X56" s="3">
        <f>STDEV(U56:U60)</f>
        <v>3.0319997842468645E-2</v>
      </c>
      <c r="Y56" s="4"/>
      <c r="Z56" s="3">
        <v>0.32439319959294777</v>
      </c>
      <c r="AA56" s="3">
        <v>5.7417596327951756E-3</v>
      </c>
      <c r="AB56" s="3">
        <f>AVERAGE(Z56:Z60)</f>
        <v>0.30124129670435862</v>
      </c>
      <c r="AC56" s="3">
        <f>STDEV(Z56:Z60)</f>
        <v>7.7894005008088213E-2</v>
      </c>
      <c r="AE56" s="3">
        <v>0.10960486322188449</v>
      </c>
      <c r="AF56" s="3">
        <v>1.2604559270516717E-3</v>
      </c>
      <c r="AG56" s="3">
        <f>AVERAGE(AE56:AE60)</f>
        <v>0.14260790273556231</v>
      </c>
      <c r="AH56" s="3">
        <f>STDEV(AE56:AE60)</f>
        <v>9.1100435076696601E-2</v>
      </c>
      <c r="AJ56" s="3" t="s">
        <v>22</v>
      </c>
      <c r="AK56" s="3" t="e">
        <v>#VALUE!</v>
      </c>
      <c r="AL56" s="3" t="e">
        <f>AVERAGE(AJ56:AJ60)</f>
        <v>#DIV/0!</v>
      </c>
      <c r="AM56" s="3" t="e">
        <f>STDEV(AJ56:AJ60)</f>
        <v>#DIV/0!</v>
      </c>
      <c r="AN56" s="3"/>
      <c r="AO56" s="3">
        <v>0.12641758241758247</v>
      </c>
      <c r="AP56" s="3">
        <v>3.3260465934065946E-2</v>
      </c>
      <c r="AQ56" s="3">
        <f>AVERAGE(AO56:AO60)</f>
        <v>0.12265494505494512</v>
      </c>
      <c r="AR56" s="3">
        <f>STDEV(AO56:AO60)</f>
        <v>8.9122446023542093E-2</v>
      </c>
      <c r="AT56" s="3" t="s">
        <v>23</v>
      </c>
      <c r="AU56" s="3" t="e">
        <v>#VALUE!</v>
      </c>
      <c r="AV56" s="3" t="s">
        <v>0</v>
      </c>
      <c r="AW56" s="3" t="e">
        <v>#VALUE!</v>
      </c>
    </row>
    <row r="57" spans="2:49" x14ac:dyDescent="0.2">
      <c r="C57">
        <v>9</v>
      </c>
      <c r="D57" t="s">
        <v>5</v>
      </c>
      <c r="F57" s="3">
        <v>2.9765624046479808</v>
      </c>
      <c r="G57" s="3">
        <v>1.6569526361211725E-2</v>
      </c>
      <c r="K57" s="3">
        <v>1.019263087937702</v>
      </c>
      <c r="L57" s="3">
        <v>2.4525706453818085E-2</v>
      </c>
      <c r="P57" s="3">
        <v>0.12729572454158622</v>
      </c>
      <c r="Q57" s="3">
        <v>2.0621907375736972E-3</v>
      </c>
      <c r="U57" s="3">
        <v>0.17841910744945133</v>
      </c>
      <c r="V57" s="3">
        <v>3.9965880068677101E-3</v>
      </c>
      <c r="Z57" s="3">
        <v>0.31801411452039835</v>
      </c>
      <c r="AA57" s="3">
        <v>5.6924526499151301E-3</v>
      </c>
      <c r="AE57" s="3">
        <v>8.3768996960486342E-2</v>
      </c>
      <c r="AF57" s="3">
        <v>3.4345288753799395E-4</v>
      </c>
      <c r="AJ57" s="3" t="s">
        <v>22</v>
      </c>
      <c r="AK57" s="3" t="e">
        <v>#VALUE!</v>
      </c>
      <c r="AO57" s="3">
        <v>0.15015384615384619</v>
      </c>
      <c r="AP57" s="3">
        <v>2.4775384615384623E-2</v>
      </c>
      <c r="AT57" s="3" t="s">
        <v>23</v>
      </c>
      <c r="AU57" s="3" t="e">
        <v>#VALUE!</v>
      </c>
      <c r="AV57" s="6" t="s">
        <v>0</v>
      </c>
      <c r="AW57" s="6" t="e">
        <v>#VALUE!</v>
      </c>
    </row>
    <row r="58" spans="2:49" x14ac:dyDescent="0.2">
      <c r="C58">
        <v>9</v>
      </c>
      <c r="D58" t="s">
        <v>6</v>
      </c>
      <c r="F58" s="3">
        <v>2.2081477932507338</v>
      </c>
      <c r="G58" s="3">
        <v>0.16382684310228754</v>
      </c>
      <c r="K58" s="3">
        <v>1.056384292300941</v>
      </c>
      <c r="L58" s="3">
        <v>4.8497614836925322E-2</v>
      </c>
      <c r="P58" s="3">
        <v>0.10224198850546316</v>
      </c>
      <c r="Q58" s="3">
        <v>5.1325478229742498E-3</v>
      </c>
      <c r="U58" s="3">
        <v>0.16147731985064021</v>
      </c>
      <c r="V58" s="3">
        <v>4.0046375322958768E-3</v>
      </c>
      <c r="Z58" s="3">
        <v>0.1998642431428177</v>
      </c>
      <c r="AA58" s="3">
        <v>1.9986424314281772E-3</v>
      </c>
      <c r="AE58" s="3">
        <v>4.300911854103346E-2</v>
      </c>
      <c r="AF58" s="3">
        <v>7.7416413373860226E-5</v>
      </c>
      <c r="AJ58" s="3" t="s">
        <v>22</v>
      </c>
      <c r="AK58" s="3" t="e">
        <v>#VALUE!</v>
      </c>
      <c r="AO58" s="3">
        <v>0.24509890109890117</v>
      </c>
      <c r="AP58" s="3">
        <v>7.5490461538461565E-3</v>
      </c>
      <c r="AT58" s="3" t="s">
        <v>23</v>
      </c>
      <c r="AU58" s="3" t="e">
        <v>#VALUE!</v>
      </c>
      <c r="AV58" s="6" t="s">
        <v>0</v>
      </c>
      <c r="AW58" s="6" t="e">
        <v>#VALUE!</v>
      </c>
    </row>
    <row r="59" spans="2:49" x14ac:dyDescent="0.2">
      <c r="C59">
        <v>9</v>
      </c>
      <c r="D59" t="s">
        <v>7</v>
      </c>
      <c r="F59" s="3">
        <v>1.7776024764095195</v>
      </c>
      <c r="G59" s="3">
        <v>7.1503871400822816E-2</v>
      </c>
      <c r="K59" s="3">
        <v>1.3511003206663823</v>
      </c>
      <c r="L59" s="3">
        <v>4.3607801421181237E-2</v>
      </c>
      <c r="P59" s="3">
        <v>9.5165518979220196E-2</v>
      </c>
      <c r="Q59" s="3">
        <v>2.7027007390098535E-3</v>
      </c>
      <c r="U59" s="3">
        <v>0.16370296805161655</v>
      </c>
      <c r="V59" s="3">
        <v>2.2591009591123082E-3</v>
      </c>
      <c r="Z59" s="3">
        <v>0.4070909096869692</v>
      </c>
      <c r="AA59" s="3">
        <v>3.6231090962140257E-3</v>
      </c>
      <c r="AE59" s="3">
        <v>0.22416413373860181</v>
      </c>
      <c r="AF59" s="3">
        <v>3.6292173252279639E-2</v>
      </c>
      <c r="AJ59" s="3" t="s">
        <v>22</v>
      </c>
      <c r="AK59" s="3" t="e">
        <v>#VALUE!</v>
      </c>
      <c r="AO59" s="3">
        <v>9.1604395604395664E-2</v>
      </c>
      <c r="AP59" s="3">
        <v>2.5255331868131885E-2</v>
      </c>
      <c r="AT59" s="3" t="s">
        <v>23</v>
      </c>
      <c r="AU59" s="3" t="e">
        <v>#VALUE!</v>
      </c>
      <c r="AV59" s="6" t="s">
        <v>0</v>
      </c>
      <c r="AW59" s="6" t="e">
        <v>#VALUE!</v>
      </c>
    </row>
    <row r="60" spans="2:49" ht="16" x14ac:dyDescent="0.2">
      <c r="C60">
        <v>9</v>
      </c>
      <c r="D60" t="s">
        <v>8</v>
      </c>
      <c r="F60" s="3">
        <v>1.6226180298743884</v>
      </c>
      <c r="G60" s="3">
        <v>3.8936832549856679E-2</v>
      </c>
      <c r="K60" s="3">
        <v>1.0432424743851696</v>
      </c>
      <c r="L60" s="3">
        <v>8.8349126691589716E-2</v>
      </c>
      <c r="P60" s="3" t="s">
        <v>24</v>
      </c>
      <c r="Q60" s="3" t="e">
        <v>#VALUE!</v>
      </c>
      <c r="U60" s="3">
        <v>0.22841944548172963</v>
      </c>
      <c r="V60" s="3">
        <v>1.7337035912063276E-2</v>
      </c>
      <c r="Z60" s="3">
        <v>0.25684401657866002</v>
      </c>
      <c r="AA60" s="3">
        <v>7.088894857571016E-3</v>
      </c>
      <c r="AE60" s="3">
        <v>0.25249240121580546</v>
      </c>
      <c r="AF60" s="3">
        <v>8.9988291793313066E-2</v>
      </c>
      <c r="AJ60" s="3" t="s">
        <v>22</v>
      </c>
      <c r="AK60" s="3" t="e">
        <v>#VALUE!</v>
      </c>
      <c r="AO60" s="8">
        <v>0</v>
      </c>
      <c r="AP60" s="3" t="e">
        <v>#VALUE!</v>
      </c>
      <c r="AT60" s="3" t="s">
        <v>23</v>
      </c>
      <c r="AU60" s="3" t="e">
        <v>#VALUE!</v>
      </c>
      <c r="AV60" s="6" t="s">
        <v>0</v>
      </c>
      <c r="AW60" s="6" t="e">
        <v>#VALUE!</v>
      </c>
    </row>
    <row r="61" spans="2:49" x14ac:dyDescent="0.2">
      <c r="F61" s="3"/>
      <c r="AE61" s="3"/>
    </row>
    <row r="62" spans="2:49" ht="16" x14ac:dyDescent="0.2">
      <c r="B62" s="2">
        <v>45824</v>
      </c>
      <c r="C62">
        <v>10</v>
      </c>
      <c r="D62" t="s">
        <v>4</v>
      </c>
      <c r="F62" s="3">
        <v>5.3939856060000828</v>
      </c>
      <c r="G62" s="3">
        <v>0.1182701072458605</v>
      </c>
      <c r="H62" s="3">
        <f>AVERAGE(F62:F66)</f>
        <v>3.2239585192201545</v>
      </c>
      <c r="I62" s="3">
        <f>STDEV(F62:F66)</f>
        <v>1.4636254168370089</v>
      </c>
      <c r="K62" s="3">
        <v>1.4821386784970516</v>
      </c>
      <c r="L62" s="3">
        <v>4.0619021976391868E-2</v>
      </c>
      <c r="M62" s="3">
        <f>AVERAGE(K62:K66)</f>
        <v>1.1757140246898898</v>
      </c>
      <c r="N62" s="3">
        <f>STDEV(K62:K66)</f>
        <v>0.24196607169829568</v>
      </c>
      <c r="P62" s="8">
        <v>0</v>
      </c>
      <c r="Q62" s="3" t="e">
        <v>#VALUE!</v>
      </c>
      <c r="R62" s="3">
        <f>AVERAGE(P62:P66)</f>
        <v>8.1191598549072999E-2</v>
      </c>
      <c r="S62" s="3">
        <f>STDEV(P62:P66)</f>
        <v>5.0843775232267255E-2</v>
      </c>
      <c r="T62" s="3"/>
      <c r="U62" s="3">
        <v>0.17009211331821236</v>
      </c>
      <c r="V62" s="3">
        <v>4.3713673122780568E-3</v>
      </c>
      <c r="W62" s="3">
        <f>AVERAGE(U62:U66)</f>
        <v>0.17270149396763285</v>
      </c>
      <c r="X62" s="3">
        <f>STDEV(U62:U66)</f>
        <v>8.82600272551326E-3</v>
      </c>
      <c r="Y62" s="4"/>
      <c r="Z62" s="3">
        <v>0.31576775499146448</v>
      </c>
      <c r="AA62" s="3">
        <v>4.2628646923847709E-3</v>
      </c>
      <c r="AB62" s="3">
        <f>AVERAGE(Z62:Z66)</f>
        <v>0.32459479596092905</v>
      </c>
      <c r="AC62" s="3">
        <f>STDEV(Z62:Z66)</f>
        <v>7.283405434836214E-2</v>
      </c>
      <c r="AE62" s="3">
        <v>0.10586626139817631</v>
      </c>
      <c r="AF62" s="3">
        <v>1.3762613981762922E-3</v>
      </c>
      <c r="AG62" s="3">
        <f>AVERAGE(AE62:AE66)</f>
        <v>0.12337386018237084</v>
      </c>
      <c r="AH62" s="3">
        <f>STDEV(AE62:AE66)</f>
        <v>6.2129321321586446E-2</v>
      </c>
      <c r="AJ62" s="3" t="s">
        <v>22</v>
      </c>
      <c r="AK62" s="3" t="e">
        <v>#VALUE!</v>
      </c>
      <c r="AL62" s="3" t="e">
        <f>AVERAGE(AJ62:AJ66)</f>
        <v>#DIV/0!</v>
      </c>
      <c r="AM62" s="3" t="e">
        <f>STDEV(AJ62:AJ66)</f>
        <v>#DIV/0!</v>
      </c>
      <c r="AN62" s="3"/>
      <c r="AO62" s="3">
        <v>0.18496703296703304</v>
      </c>
      <c r="AP62" s="3">
        <v>2.4859569230769239E-2</v>
      </c>
      <c r="AQ62" s="3">
        <f>AVERAGE(AO62:AO66)</f>
        <v>4.8401230769230779</v>
      </c>
      <c r="AR62" s="3">
        <f>STDEV(AO62:AO66)</f>
        <v>10.348269258629696</v>
      </c>
      <c r="AT62" s="3" t="s">
        <v>23</v>
      </c>
      <c r="AU62" s="3" t="e">
        <v>#VALUE!</v>
      </c>
      <c r="AV62" s="3" t="s">
        <v>0</v>
      </c>
      <c r="AW62" s="3" t="e">
        <v>#VALUE!</v>
      </c>
    </row>
    <row r="63" spans="2:49" x14ac:dyDescent="0.2">
      <c r="C63">
        <v>10</v>
      </c>
      <c r="D63" t="s">
        <v>5</v>
      </c>
      <c r="F63" s="3">
        <v>3.030680673263797</v>
      </c>
      <c r="G63" s="3">
        <v>0.12155697574776617</v>
      </c>
      <c r="K63" s="3">
        <v>1.0854026416872109</v>
      </c>
      <c r="L63" s="3">
        <v>6.8454975797800702E-2</v>
      </c>
      <c r="P63" s="3">
        <v>0.14038147131125028</v>
      </c>
      <c r="Q63" s="3">
        <v>1.5301580372926282E-3</v>
      </c>
      <c r="U63" s="3">
        <v>0.17542599435158662</v>
      </c>
      <c r="V63" s="3">
        <v>5.2803224299827574E-3</v>
      </c>
      <c r="Z63" s="3">
        <v>0.32639476353219016</v>
      </c>
      <c r="AA63" s="3">
        <v>8.6494612336030386E-3</v>
      </c>
      <c r="AE63" s="3">
        <v>0.10626139817629181</v>
      </c>
      <c r="AF63" s="3">
        <v>4.5692401215805477E-4</v>
      </c>
      <c r="AJ63" s="3" t="s">
        <v>22</v>
      </c>
      <c r="AK63" s="3" t="e">
        <v>#VALUE!</v>
      </c>
      <c r="AO63" s="3">
        <v>0.17547252747252753</v>
      </c>
      <c r="AP63" s="3">
        <v>1.854744615384616E-2</v>
      </c>
      <c r="AT63" s="3" t="s">
        <v>23</v>
      </c>
      <c r="AU63" s="3" t="e">
        <v>#VALUE!</v>
      </c>
      <c r="AV63" s="6" t="s">
        <v>0</v>
      </c>
      <c r="AW63" s="6" t="e">
        <v>#VALUE!</v>
      </c>
    </row>
    <row r="64" spans="2:49" x14ac:dyDescent="0.2">
      <c r="C64">
        <v>10</v>
      </c>
      <c r="D64" t="s">
        <v>6</v>
      </c>
      <c r="F64" s="3">
        <v>2.2265346536114419</v>
      </c>
      <c r="G64" s="3">
        <v>0.13148562557867688</v>
      </c>
      <c r="K64" s="3">
        <v>0.88835133721604809</v>
      </c>
      <c r="L64" s="3">
        <v>9.7141857963253503E-2</v>
      </c>
      <c r="P64" s="3">
        <v>8.4985941717889119E-2</v>
      </c>
      <c r="Q64" s="3">
        <v>6.2889596871237949E-4</v>
      </c>
      <c r="U64" s="3">
        <v>0.16051798872952974</v>
      </c>
      <c r="V64" s="3">
        <v>2.4880288253077108E-3</v>
      </c>
      <c r="Z64" s="3">
        <v>0.20998726076359028</v>
      </c>
      <c r="AA64" s="3">
        <v>2.1838675119413386E-3</v>
      </c>
      <c r="AE64" s="3">
        <v>5.6778115501519788E-2</v>
      </c>
      <c r="AF64" s="3">
        <v>8.346382978723409E-4</v>
      </c>
      <c r="AJ64" s="3" t="s">
        <v>22</v>
      </c>
      <c r="AK64" s="3" t="e">
        <v>#VALUE!</v>
      </c>
      <c r="AO64" s="3">
        <v>0.26567032967032977</v>
      </c>
      <c r="AP64" s="3">
        <v>6.42922197802198E-3</v>
      </c>
      <c r="AT64" s="3" t="s">
        <v>23</v>
      </c>
      <c r="AU64" s="3" t="e">
        <v>#VALUE!</v>
      </c>
      <c r="AV64" s="6" t="s">
        <v>0</v>
      </c>
      <c r="AW64" s="6" t="e">
        <v>#VALUE!</v>
      </c>
    </row>
    <row r="65" spans="2:49" x14ac:dyDescent="0.2">
      <c r="C65">
        <v>10</v>
      </c>
      <c r="D65" t="s">
        <v>7</v>
      </c>
      <c r="F65" s="3">
        <v>3.8178155815927202</v>
      </c>
      <c r="G65" s="3">
        <v>0.94182512437957999</v>
      </c>
      <c r="K65" s="3">
        <v>1.3646726027528051</v>
      </c>
      <c r="L65" s="3">
        <v>7.1295078292194045E-2</v>
      </c>
      <c r="P65" s="3">
        <v>9.5982546487515266E-2</v>
      </c>
      <c r="Q65" s="3">
        <v>8.638429183876375E-4</v>
      </c>
      <c r="U65" s="3">
        <v>0.18490418582815818</v>
      </c>
      <c r="V65" s="3">
        <v>3.5316699493178208E-3</v>
      </c>
      <c r="Z65" s="3">
        <v>0.40281418673765279</v>
      </c>
      <c r="AA65" s="3">
        <v>7.613188129341638E-3</v>
      </c>
      <c r="AE65" s="3">
        <v>0.22537993920972649</v>
      </c>
      <c r="AF65" s="3">
        <v>8.7019194528875396E-2</v>
      </c>
      <c r="AJ65" s="3" t="s">
        <v>22</v>
      </c>
      <c r="AK65" s="3" t="e">
        <v>#VALUE!</v>
      </c>
      <c r="AO65" s="3">
        <v>23.351560439560444</v>
      </c>
      <c r="AP65" s="3">
        <v>0.24986169670329678</v>
      </c>
      <c r="AT65" s="3" t="s">
        <v>23</v>
      </c>
      <c r="AU65" s="3" t="e">
        <v>#VALUE!</v>
      </c>
      <c r="AV65" s="6" t="s">
        <v>0</v>
      </c>
      <c r="AW65" s="6" t="e">
        <v>#VALUE!</v>
      </c>
    </row>
    <row r="66" spans="2:49" x14ac:dyDescent="0.2">
      <c r="C66">
        <v>10</v>
      </c>
      <c r="D66" t="s">
        <v>8</v>
      </c>
      <c r="F66" s="3">
        <v>1.6507760816327297</v>
      </c>
      <c r="G66" s="3">
        <v>4.0501571738001584E-2</v>
      </c>
      <c r="K66" s="3">
        <v>1.0580048632963348</v>
      </c>
      <c r="L66" s="3">
        <v>3.4757506732707048E-2</v>
      </c>
      <c r="P66" s="3">
        <v>8.4608033228710286E-2</v>
      </c>
      <c r="Q66" s="3">
        <v>7.885468696915799E-3</v>
      </c>
      <c r="U66" s="3">
        <v>0.17256718761067741</v>
      </c>
      <c r="V66" s="3">
        <v>3.0716959394700579E-3</v>
      </c>
      <c r="Z66" s="3">
        <v>0.36801001377974751</v>
      </c>
      <c r="AA66" s="3">
        <v>0.17833765267766566</v>
      </c>
      <c r="AE66" s="3">
        <v>0.12258358662613981</v>
      </c>
      <c r="AF66" s="3">
        <v>1.5200364741641337E-3</v>
      </c>
      <c r="AJ66" s="3" t="s">
        <v>22</v>
      </c>
      <c r="AK66" s="3" t="e">
        <v>#VALUE!</v>
      </c>
      <c r="AO66" s="3">
        <v>0.22294505494505504</v>
      </c>
      <c r="AP66" s="3">
        <v>1.409012747252748E-2</v>
      </c>
      <c r="AT66" s="3" t="s">
        <v>23</v>
      </c>
      <c r="AU66" s="3" t="e">
        <v>#VALUE!</v>
      </c>
      <c r="AV66" s="6" t="s">
        <v>0</v>
      </c>
      <c r="AW66" s="6" t="e">
        <v>#VALUE!</v>
      </c>
    </row>
    <row r="67" spans="2:49" x14ac:dyDescent="0.2">
      <c r="F67" s="3"/>
      <c r="AE67" s="3"/>
    </row>
    <row r="68" spans="2:49" x14ac:dyDescent="0.2">
      <c r="B68" s="2">
        <v>45825</v>
      </c>
      <c r="C68">
        <v>11</v>
      </c>
      <c r="D68" t="s">
        <v>4</v>
      </c>
      <c r="F68" s="3">
        <v>4.7514956134256296</v>
      </c>
      <c r="G68" s="3">
        <v>0.18189387516797326</v>
      </c>
      <c r="H68" s="3">
        <f>AVERAGE(F68:F72)</f>
        <v>2.6748148975479209</v>
      </c>
      <c r="I68" s="3">
        <f>STDEV(F68:F72)</f>
        <v>1.4436035016256681</v>
      </c>
      <c r="K68" s="3">
        <v>1.4977113529059136</v>
      </c>
      <c r="L68" s="3">
        <v>7.6136037384297722E-2</v>
      </c>
      <c r="M68" s="3">
        <f>AVERAGE(K68:K72)</f>
        <v>1.2602825092276426</v>
      </c>
      <c r="N68" s="3">
        <f>STDEV(K68:K72)</f>
        <v>0.21961406392872806</v>
      </c>
      <c r="P68" s="3">
        <v>7.9516913934350453E-2</v>
      </c>
      <c r="Q68" s="3">
        <v>5.7252178032732325E-4</v>
      </c>
      <c r="R68" s="3">
        <f>AVERAGE(P68:P72)</f>
        <v>0.11492387884390967</v>
      </c>
      <c r="S68" s="3">
        <f>STDEV(P68:P72)</f>
        <v>3.7985698420340559E-2</v>
      </c>
      <c r="T68" s="3"/>
      <c r="U68" s="3">
        <v>0.16399076738794968</v>
      </c>
      <c r="V68" s="3">
        <v>3.6897922662288678E-3</v>
      </c>
      <c r="W68" s="3">
        <f>AVERAGE(U68:U72)</f>
        <v>0.17391025118023207</v>
      </c>
      <c r="X68" s="3">
        <f>STDEV(U68:U72)</f>
        <v>1.3488946085484104E-2</v>
      </c>
      <c r="Y68" s="4"/>
      <c r="Z68" s="3">
        <v>0.32266523072453707</v>
      </c>
      <c r="AA68" s="3">
        <v>2.0973239997094913E-3</v>
      </c>
      <c r="AB68" s="3">
        <f>AVERAGE(Z68:Z72)</f>
        <v>0.31485193149120683</v>
      </c>
      <c r="AC68" s="3">
        <f>STDEV(Z68:Z72)</f>
        <v>6.5382145822247092E-2</v>
      </c>
      <c r="AE68" s="3">
        <v>0.11775075987841949</v>
      </c>
      <c r="AF68" s="3">
        <v>2.9202188449848031E-3</v>
      </c>
      <c r="AG68" s="3">
        <f>AVERAGE(AE68:AE72)</f>
        <v>0.17187234042553193</v>
      </c>
      <c r="AH68" s="3">
        <f>STDEV(AE68:AE72)</f>
        <v>6.3762682195791703E-2</v>
      </c>
      <c r="AJ68" s="3" t="s">
        <v>22</v>
      </c>
      <c r="AK68" s="3" t="e">
        <v>#VALUE!</v>
      </c>
      <c r="AL68" s="3" t="e">
        <f>AVERAGE(AJ68:AJ72)</f>
        <v>#DIV/0!</v>
      </c>
      <c r="AM68" s="3" t="e">
        <f>STDEV(AJ68:AJ72)</f>
        <v>#DIV/0!</v>
      </c>
      <c r="AN68" s="3"/>
      <c r="AO68" s="3">
        <v>0.18338461538461545</v>
      </c>
      <c r="AP68" s="3">
        <v>3.1450461538461545E-2</v>
      </c>
      <c r="AQ68" s="3">
        <f>AVERAGE(AO68:AO72)</f>
        <v>0.16379780219780227</v>
      </c>
      <c r="AR68" s="3">
        <f>STDEV(AO68:AO72)</f>
        <v>0.1181584640646498</v>
      </c>
      <c r="AT68" s="3" t="s">
        <v>23</v>
      </c>
      <c r="AU68" s="3" t="e">
        <v>#VALUE!</v>
      </c>
      <c r="AV68" s="3" t="s">
        <v>0</v>
      </c>
      <c r="AW68" s="3" t="e">
        <v>#VALUE!</v>
      </c>
    </row>
    <row r="69" spans="2:49" x14ac:dyDescent="0.2">
      <c r="C69">
        <v>11</v>
      </c>
      <c r="D69" t="s">
        <v>5</v>
      </c>
      <c r="F69" s="3">
        <v>3.5466097289180483</v>
      </c>
      <c r="G69" s="3">
        <v>7.4910416142525305E-2</v>
      </c>
      <c r="K69" s="3">
        <v>1.2031978959148966</v>
      </c>
      <c r="L69" s="3">
        <v>1.7533927233328073E-2</v>
      </c>
      <c r="P69" s="3">
        <v>0.16504665354864018</v>
      </c>
      <c r="Q69" s="3">
        <v>8.4173793309806491E-4</v>
      </c>
      <c r="U69" s="3">
        <v>0.17488876892376476</v>
      </c>
      <c r="V69" s="3">
        <v>3.4278198709057892E-3</v>
      </c>
      <c r="Z69" s="3">
        <v>0.35340867684167721</v>
      </c>
      <c r="AA69" s="3">
        <v>4.099540651363455E-3</v>
      </c>
      <c r="AE69" s="3">
        <v>0.14148936170212767</v>
      </c>
      <c r="AF69" s="3">
        <v>1.6695744680851065E-3</v>
      </c>
      <c r="AJ69" s="3" t="s">
        <v>22</v>
      </c>
      <c r="AK69" s="3" t="e">
        <v>#VALUE!</v>
      </c>
      <c r="AO69" s="3">
        <v>0.19287912087912096</v>
      </c>
      <c r="AP69" s="3">
        <v>2.8507534065934075E-2</v>
      </c>
      <c r="AT69" s="3" t="s">
        <v>23</v>
      </c>
      <c r="AU69" s="3" t="e">
        <v>#VALUE!</v>
      </c>
      <c r="AV69" s="6" t="s">
        <v>0</v>
      </c>
      <c r="AW69" s="6" t="e">
        <v>#VALUE!</v>
      </c>
    </row>
    <row r="70" spans="2:49" x14ac:dyDescent="0.2">
      <c r="C70">
        <v>11</v>
      </c>
      <c r="D70" t="s">
        <v>6</v>
      </c>
      <c r="F70" s="3">
        <v>2.1282605935858663</v>
      </c>
      <c r="G70" s="3">
        <v>0.12746492430740897</v>
      </c>
      <c r="K70" s="3">
        <v>0.99804373646676481</v>
      </c>
      <c r="L70" s="3">
        <v>6.1427445511629673E-2</v>
      </c>
      <c r="P70" s="3">
        <v>0.12264106293895406</v>
      </c>
      <c r="Q70" s="3">
        <v>8.5848744057267839E-4</v>
      </c>
      <c r="U70" s="3">
        <v>0.19689582484203921</v>
      </c>
      <c r="V70" s="3">
        <v>7.777385081260549E-3</v>
      </c>
      <c r="Z70" s="3">
        <v>0.23268125190205061</v>
      </c>
      <c r="AA70" s="3">
        <v>6.7477563051594669E-3</v>
      </c>
      <c r="AE70" s="3">
        <v>0.26525835866261394</v>
      </c>
      <c r="AF70" s="3">
        <v>6.5624917933130689E-2</v>
      </c>
      <c r="AJ70" s="3" t="s">
        <v>22</v>
      </c>
      <c r="AK70" s="3" t="e">
        <v>#VALUE!</v>
      </c>
      <c r="AO70" s="3">
        <v>0.32421978021978032</v>
      </c>
      <c r="AP70" s="3">
        <v>5.9883393406593419E-2</v>
      </c>
      <c r="AT70" s="3" t="s">
        <v>23</v>
      </c>
      <c r="AU70" s="3" t="e">
        <v>#VALUE!</v>
      </c>
      <c r="AV70" s="6" t="s">
        <v>0</v>
      </c>
      <c r="AW70" s="6" t="e">
        <v>#VALUE!</v>
      </c>
    </row>
    <row r="71" spans="2:49" x14ac:dyDescent="0.2">
      <c r="C71">
        <v>11</v>
      </c>
      <c r="D71" t="s">
        <v>7</v>
      </c>
      <c r="F71" s="3">
        <v>1.6738552999878262</v>
      </c>
      <c r="G71" s="3">
        <v>6.3356959894316819E-2</v>
      </c>
      <c r="K71" s="3">
        <v>1.4761121801079309</v>
      </c>
      <c r="L71" s="3">
        <v>9.0926363553500231E-3</v>
      </c>
      <c r="P71" s="3">
        <v>9.249088495369398E-2</v>
      </c>
      <c r="Q71" s="3">
        <v>1.9423085840275737E-3</v>
      </c>
      <c r="U71" s="3">
        <v>0.16775134538270278</v>
      </c>
      <c r="V71" s="3">
        <v>2.7007966606615147E-3</v>
      </c>
      <c r="Z71" s="3">
        <v>0.3966222982925145</v>
      </c>
      <c r="AA71" s="3">
        <v>7.9721081956795406E-3</v>
      </c>
      <c r="AE71" s="3">
        <v>0.21015197568389057</v>
      </c>
      <c r="AF71" s="3">
        <v>3.0724218844984802E-2</v>
      </c>
      <c r="AJ71" s="3" t="s">
        <v>22</v>
      </c>
      <c r="AK71" s="3" t="e">
        <v>#VALUE!</v>
      </c>
      <c r="AO71" s="3">
        <v>0.11850549450549457</v>
      </c>
      <c r="AP71" s="3">
        <v>6.3068624175824206E-2</v>
      </c>
      <c r="AT71" s="3" t="s">
        <v>23</v>
      </c>
      <c r="AU71" s="3" t="e">
        <v>#VALUE!</v>
      </c>
      <c r="AV71" s="6" t="s">
        <v>0</v>
      </c>
      <c r="AW71" s="6" t="e">
        <v>#VALUE!</v>
      </c>
    </row>
    <row r="72" spans="2:49" ht="16" x14ac:dyDescent="0.2">
      <c r="C72">
        <v>11</v>
      </c>
      <c r="D72" t="s">
        <v>8</v>
      </c>
      <c r="F72" s="3">
        <v>1.2738532518222336</v>
      </c>
      <c r="G72" s="3">
        <v>4.0350637308686106E-2</v>
      </c>
      <c r="K72" s="3">
        <v>1.1263473807427069</v>
      </c>
      <c r="L72" s="3">
        <v>5.0976467609951039E-2</v>
      </c>
      <c r="P72" s="3" t="s">
        <v>24</v>
      </c>
      <c r="Q72" s="3" t="e">
        <v>#VALUE!</v>
      </c>
      <c r="U72" s="3">
        <v>0.1660245493647039</v>
      </c>
      <c r="V72" s="3">
        <v>1.3481193408413956E-2</v>
      </c>
      <c r="Z72" s="3">
        <v>0.26888219969525451</v>
      </c>
      <c r="AA72" s="3">
        <v>8.6042303902481437E-3</v>
      </c>
      <c r="AE72" s="3">
        <v>0.12471124620060789</v>
      </c>
      <c r="AF72" s="3">
        <v>1.1473434650455926E-3</v>
      </c>
      <c r="AJ72" s="3" t="s">
        <v>22</v>
      </c>
      <c r="AK72" s="3" t="e">
        <v>#VALUE!</v>
      </c>
      <c r="AO72" s="8">
        <v>0</v>
      </c>
      <c r="AP72" s="3" t="e">
        <v>#VALUE!</v>
      </c>
      <c r="AT72" s="3" t="s">
        <v>23</v>
      </c>
      <c r="AU72" s="3" t="e">
        <v>#VALUE!</v>
      </c>
      <c r="AV72" s="6" t="s">
        <v>0</v>
      </c>
      <c r="AW72" s="6" t="e">
        <v>#VALUE!</v>
      </c>
    </row>
    <row r="73" spans="2:49" x14ac:dyDescent="0.2">
      <c r="F73" s="3"/>
      <c r="AE73" s="3"/>
    </row>
    <row r="74" spans="2:49" x14ac:dyDescent="0.2">
      <c r="B74" s="2">
        <v>45826</v>
      </c>
      <c r="C74">
        <v>12</v>
      </c>
      <c r="D74" t="s">
        <v>4</v>
      </c>
      <c r="F74" s="3">
        <v>4.641428197741944</v>
      </c>
      <c r="G74" s="3">
        <v>0.24060194548132441</v>
      </c>
      <c r="H74" s="3">
        <f>AVERAGE(F74:F78)</f>
        <v>2.5271063385584984</v>
      </c>
      <c r="I74" s="3">
        <f>STDEV(F74:F78)</f>
        <v>1.3939362783446825</v>
      </c>
      <c r="K74" s="3">
        <v>1.427241836028087</v>
      </c>
      <c r="L74" s="3">
        <v>0.1233871722954458</v>
      </c>
      <c r="M74" s="3">
        <f>AVERAGE(K74:K78)</f>
        <v>1.1962902120470305</v>
      </c>
      <c r="N74" s="3">
        <f>STDEV(K74:K78)</f>
        <v>0.20804783245498951</v>
      </c>
      <c r="P74" s="3">
        <v>7.9575463136899297E-2</v>
      </c>
      <c r="Q74" s="3">
        <v>1.7347450963844046E-3</v>
      </c>
      <c r="R74" s="3">
        <f>AVERAGE(P74:P78)</f>
        <v>0.11480678043881201</v>
      </c>
      <c r="S74" s="3">
        <f>STDEV(P74:P78)</f>
        <v>3.3184082448494759E-2</v>
      </c>
      <c r="T74" s="3"/>
      <c r="U74" s="3">
        <v>0.15905980542544182</v>
      </c>
      <c r="V74" s="3">
        <v>5.5352812288053752E-3</v>
      </c>
      <c r="W74" s="3">
        <f>AVERAGE(U74:U78)</f>
        <v>0.16655793746804134</v>
      </c>
      <c r="X74" s="3">
        <f>STDEV(U74:U78)</f>
        <v>1.6280261231040823E-2</v>
      </c>
      <c r="Y74" s="4"/>
      <c r="Z74" s="3">
        <v>0.31838850777522065</v>
      </c>
      <c r="AA74" s="3">
        <v>3.3430793316398173E-3</v>
      </c>
      <c r="AB74" s="3">
        <f>AVERAGE(Z74:Z78)</f>
        <v>0.3136884324531436</v>
      </c>
      <c r="AC74" s="3">
        <f>STDEV(Z74:Z78)</f>
        <v>7.5452131308307593E-2</v>
      </c>
      <c r="AE74" s="3">
        <v>0.12525835866261401</v>
      </c>
      <c r="AF74" s="3">
        <v>2.1794954407294833E-3</v>
      </c>
      <c r="AG74" s="3">
        <f>AVERAGE(AE74:AE78)</f>
        <v>0.13472948328267481</v>
      </c>
      <c r="AH74" s="3">
        <f>STDEV(AE74:AE78)</f>
        <v>8.4303317621975418E-2</v>
      </c>
      <c r="AJ74" s="3" t="s">
        <v>22</v>
      </c>
      <c r="AK74" s="3" t="e">
        <v>#VALUE!</v>
      </c>
      <c r="AL74" s="3" t="e">
        <f>AVERAGE(AJ74:AJ78)</f>
        <v>#DIV/0!</v>
      </c>
      <c r="AM74" s="3" t="e">
        <f>STDEV(AJ74:AJ78)</f>
        <v>#DIV/0!</v>
      </c>
      <c r="AN74" s="3"/>
      <c r="AO74" s="3">
        <v>0.19129670329670337</v>
      </c>
      <c r="AP74" s="3">
        <v>2.0908729670329678E-2</v>
      </c>
      <c r="AQ74" s="3">
        <f>AVERAGE(AO74:AO78)</f>
        <v>0.15620219780219785</v>
      </c>
      <c r="AR74" s="3">
        <f>STDEV(AO74:AO78)</f>
        <v>0.11155441925580782</v>
      </c>
      <c r="AT74" s="3" t="s">
        <v>23</v>
      </c>
      <c r="AU74" s="3" t="e">
        <v>#VALUE!</v>
      </c>
      <c r="AV74" s="3" t="s">
        <v>0</v>
      </c>
      <c r="AW74" s="3" t="e">
        <v>#VALUE!</v>
      </c>
    </row>
    <row r="75" spans="2:49" x14ac:dyDescent="0.2">
      <c r="C75">
        <v>12</v>
      </c>
      <c r="D75" t="s">
        <v>5</v>
      </c>
      <c r="F75" s="3">
        <v>3.0899792738750826</v>
      </c>
      <c r="G75" s="3">
        <v>0.14006993544304047</v>
      </c>
      <c r="K75" s="3">
        <v>1.1222706318324194</v>
      </c>
      <c r="L75" s="3">
        <v>7.304169444727375E-2</v>
      </c>
      <c r="P75" s="3">
        <v>0.15765082473576722</v>
      </c>
      <c r="Q75" s="3">
        <v>5.3758931234896617E-3</v>
      </c>
      <c r="U75" s="3">
        <v>0.17036072603212329</v>
      </c>
      <c r="V75" s="3">
        <v>4.8212085467090899E-3</v>
      </c>
      <c r="Z75" s="3">
        <v>0.33885053912531721</v>
      </c>
      <c r="AA75" s="3">
        <v>3.761240984291021E-3</v>
      </c>
      <c r="AE75" s="3">
        <v>0.11227963525835867</v>
      </c>
      <c r="AF75" s="3">
        <v>1.9536656534954407E-3</v>
      </c>
      <c r="AJ75" s="3" t="s">
        <v>22</v>
      </c>
      <c r="AK75" s="3" t="e">
        <v>#VALUE!</v>
      </c>
      <c r="AO75" s="3">
        <v>0.15648351648351655</v>
      </c>
      <c r="AP75" s="3">
        <v>4.6162637362637381E-3</v>
      </c>
      <c r="AT75" s="3" t="s">
        <v>23</v>
      </c>
      <c r="AU75" s="3" t="e">
        <v>#VALUE!</v>
      </c>
      <c r="AV75" s="6" t="s">
        <v>0</v>
      </c>
      <c r="AW75" s="6" t="e">
        <v>#VALUE!</v>
      </c>
    </row>
    <row r="76" spans="2:49" x14ac:dyDescent="0.2">
      <c r="C76">
        <v>12</v>
      </c>
      <c r="D76" t="s">
        <v>6</v>
      </c>
      <c r="F76" s="3">
        <v>2.2637573104138515</v>
      </c>
      <c r="G76" s="3">
        <v>7.3760571961419108E-2</v>
      </c>
      <c r="K76" s="3">
        <v>0.98586413257950833</v>
      </c>
      <c r="L76" s="3">
        <v>2.2012970760570912E-2</v>
      </c>
      <c r="P76" s="3">
        <v>0.12094313606503793</v>
      </c>
      <c r="Q76" s="3">
        <v>4.2813870167023428E-3</v>
      </c>
      <c r="U76" s="3">
        <v>0.19284744751095295</v>
      </c>
      <c r="V76" s="3">
        <v>4.396921803249727E-3</v>
      </c>
      <c r="Z76" s="3">
        <v>0.23439482102989123</v>
      </c>
      <c r="AA76" s="3">
        <v>1.043056953583016E-2</v>
      </c>
      <c r="AE76" s="3">
        <v>5.6778115501519788E-2</v>
      </c>
      <c r="AF76" s="3">
        <v>2.6117933130699101E-4</v>
      </c>
      <c r="AJ76" s="3" t="s">
        <v>22</v>
      </c>
      <c r="AK76" s="3" t="e">
        <v>#VALUE!</v>
      </c>
      <c r="AO76" s="3">
        <v>0.30839560439560448</v>
      </c>
      <c r="AP76" s="3">
        <v>4.8387270329670336E-2</v>
      </c>
      <c r="AT76" s="3" t="s">
        <v>23</v>
      </c>
      <c r="AU76" s="3" t="e">
        <v>#VALUE!</v>
      </c>
      <c r="AV76" s="6" t="s">
        <v>0</v>
      </c>
      <c r="AW76" s="6" t="e">
        <v>#VALUE!</v>
      </c>
    </row>
    <row r="77" spans="2:49" x14ac:dyDescent="0.2">
      <c r="C77">
        <v>12</v>
      </c>
      <c r="D77" t="s">
        <v>7</v>
      </c>
      <c r="F77" s="3">
        <v>1.3546227084810549</v>
      </c>
      <c r="G77" s="3">
        <v>0.11883755235692034</v>
      </c>
      <c r="K77" s="3">
        <v>1.4082507696758162</v>
      </c>
      <c r="L77" s="3">
        <v>7.6337364400321017E-2</v>
      </c>
      <c r="P77" s="3">
        <v>0.10105769781754359</v>
      </c>
      <c r="Q77" s="3">
        <v>2.2434808915494679E-3</v>
      </c>
      <c r="U77" s="3">
        <v>0.15990401681201905</v>
      </c>
      <c r="V77" s="3">
        <v>8.5708553011242215E-3</v>
      </c>
      <c r="Z77" s="3">
        <v>0.42386660745112298</v>
      </c>
      <c r="AA77" s="3">
        <v>1.6234091065378011E-2</v>
      </c>
      <c r="AE77" s="3">
        <v>0.27832826747720368</v>
      </c>
      <c r="AF77" s="3">
        <v>2.0095300911854106E-2</v>
      </c>
      <c r="AJ77" s="3" t="s">
        <v>22</v>
      </c>
      <c r="AK77" s="3" t="e">
        <v>#VALUE!</v>
      </c>
      <c r="AO77" s="3">
        <v>0.12483516483516488</v>
      </c>
      <c r="AP77" s="3">
        <v>4.1994549450549472E-2</v>
      </c>
      <c r="AT77" s="3" t="s">
        <v>23</v>
      </c>
      <c r="AU77" s="3" t="e">
        <v>#VALUE!</v>
      </c>
      <c r="AV77" s="6" t="s">
        <v>0</v>
      </c>
      <c r="AW77" s="6" t="e">
        <v>#VALUE!</v>
      </c>
    </row>
    <row r="78" spans="2:49" ht="16" x14ac:dyDescent="0.2">
      <c r="C78">
        <v>12</v>
      </c>
      <c r="D78" t="s">
        <v>8</v>
      </c>
      <c r="F78" s="3">
        <v>1.2857442022805601</v>
      </c>
      <c r="G78" s="3">
        <v>3.4143453354811039E-2</v>
      </c>
      <c r="K78" s="3">
        <v>1.0378236901193214</v>
      </c>
      <c r="L78" s="3">
        <v>4.0949942812036677E-2</v>
      </c>
      <c r="P78" s="3" t="s">
        <v>24</v>
      </c>
      <c r="Q78" s="3" t="e">
        <v>#VALUE!</v>
      </c>
      <c r="U78" s="3">
        <v>0.15061769155966959</v>
      </c>
      <c r="V78" s="3">
        <v>1.0543238409176871E-3</v>
      </c>
      <c r="Z78" s="3">
        <v>0.25294168688416591</v>
      </c>
      <c r="AA78" s="3">
        <v>4.2747145083424035E-3</v>
      </c>
      <c r="AE78" s="3">
        <v>0.10100303951367781</v>
      </c>
      <c r="AF78" s="3">
        <v>2.8583860182370825E-3</v>
      </c>
      <c r="AJ78" s="3" t="s">
        <v>22</v>
      </c>
      <c r="AK78" s="3" t="e">
        <v>#VALUE!</v>
      </c>
      <c r="AO78" s="8">
        <v>0</v>
      </c>
      <c r="AP78" s="3" t="e">
        <v>#VALUE!</v>
      </c>
      <c r="AT78" s="3" t="s">
        <v>23</v>
      </c>
      <c r="AU78" s="3" t="e">
        <v>#VALUE!</v>
      </c>
      <c r="AV78" s="6" t="s">
        <v>0</v>
      </c>
      <c r="AW78" s="6" t="e">
        <v>#VALUE!</v>
      </c>
    </row>
    <row r="79" spans="2:49" x14ac:dyDescent="0.2">
      <c r="F79" s="3" t="s">
        <v>0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44435C-B76F-E946-BAA1-2F46BCA6B90F}">
  <dimension ref="A1:A71"/>
  <sheetViews>
    <sheetView tabSelected="1" workbookViewId="0">
      <selection sqref="A1:A60"/>
    </sheetView>
  </sheetViews>
  <sheetFormatPr baseColWidth="10" defaultRowHeight="15" x14ac:dyDescent="0.2"/>
  <sheetData>
    <row r="1" spans="1:1" x14ac:dyDescent="0.2">
      <c r="A1" s="3"/>
    </row>
    <row r="2" spans="1:1" x14ac:dyDescent="0.2">
      <c r="A2" s="3"/>
    </row>
    <row r="3" spans="1:1" x14ac:dyDescent="0.2">
      <c r="A3" s="3"/>
    </row>
    <row r="4" spans="1:1" x14ac:dyDescent="0.2">
      <c r="A4" s="3"/>
    </row>
    <row r="5" spans="1:1" x14ac:dyDescent="0.2">
      <c r="A5" s="3"/>
    </row>
    <row r="6" spans="1:1" x14ac:dyDescent="0.2">
      <c r="A6" s="3"/>
    </row>
    <row r="7" spans="1:1" x14ac:dyDescent="0.2">
      <c r="A7" s="3"/>
    </row>
    <row r="8" spans="1:1" x14ac:dyDescent="0.2">
      <c r="A8" s="3"/>
    </row>
    <row r="9" spans="1:1" ht="16" customHeight="1" x14ac:dyDescent="0.2">
      <c r="A9" s="3"/>
    </row>
    <row r="10" spans="1:1" ht="16" customHeight="1" x14ac:dyDescent="0.2">
      <c r="A10" s="3"/>
    </row>
    <row r="11" spans="1:1" x14ac:dyDescent="0.2">
      <c r="A11" s="3"/>
    </row>
    <row r="12" spans="1:1" x14ac:dyDescent="0.2">
      <c r="A12" s="3"/>
    </row>
    <row r="13" spans="1:1" x14ac:dyDescent="0.2">
      <c r="A13" s="3"/>
    </row>
    <row r="14" spans="1:1" x14ac:dyDescent="0.2">
      <c r="A14" s="3"/>
    </row>
    <row r="15" spans="1:1" x14ac:dyDescent="0.2">
      <c r="A15" s="3"/>
    </row>
    <row r="16" spans="1:1" x14ac:dyDescent="0.2">
      <c r="A16" s="3"/>
    </row>
    <row r="17" spans="1:1" x14ac:dyDescent="0.2">
      <c r="A17" s="3"/>
    </row>
    <row r="18" spans="1:1" x14ac:dyDescent="0.2">
      <c r="A18" s="3"/>
    </row>
    <row r="19" spans="1:1" x14ac:dyDescent="0.2">
      <c r="A19" s="3"/>
    </row>
    <row r="20" spans="1:1" x14ac:dyDescent="0.2">
      <c r="A20" s="3"/>
    </row>
    <row r="21" spans="1:1" x14ac:dyDescent="0.2">
      <c r="A21" s="3"/>
    </row>
    <row r="22" spans="1:1" x14ac:dyDescent="0.2">
      <c r="A22" s="3"/>
    </row>
    <row r="23" spans="1:1" x14ac:dyDescent="0.2">
      <c r="A23" s="3"/>
    </row>
    <row r="24" spans="1:1" x14ac:dyDescent="0.2">
      <c r="A24" s="3"/>
    </row>
    <row r="25" spans="1:1" x14ac:dyDescent="0.2">
      <c r="A25" s="3"/>
    </row>
    <row r="26" spans="1:1" x14ac:dyDescent="0.2">
      <c r="A26" s="3"/>
    </row>
    <row r="27" spans="1:1" x14ac:dyDescent="0.2">
      <c r="A27" s="3"/>
    </row>
    <row r="28" spans="1:1" x14ac:dyDescent="0.2">
      <c r="A28" s="3"/>
    </row>
    <row r="29" spans="1:1" x14ac:dyDescent="0.2">
      <c r="A29" s="3"/>
    </row>
    <row r="30" spans="1:1" ht="16" customHeight="1" x14ac:dyDescent="0.2">
      <c r="A30" s="3"/>
    </row>
    <row r="31" spans="1:1" x14ac:dyDescent="0.2">
      <c r="A31" s="3"/>
    </row>
    <row r="32" spans="1:1" x14ac:dyDescent="0.2">
      <c r="A32" s="3"/>
    </row>
    <row r="33" spans="1:1" x14ac:dyDescent="0.2">
      <c r="A33" s="3"/>
    </row>
    <row r="34" spans="1:1" x14ac:dyDescent="0.2">
      <c r="A34" s="3"/>
    </row>
    <row r="35" spans="1:1" x14ac:dyDescent="0.2">
      <c r="A35" s="3"/>
    </row>
    <row r="36" spans="1:1" x14ac:dyDescent="0.2">
      <c r="A36" s="3"/>
    </row>
    <row r="37" spans="1:1" x14ac:dyDescent="0.2">
      <c r="A37" s="3"/>
    </row>
    <row r="38" spans="1:1" x14ac:dyDescent="0.2">
      <c r="A38" s="3"/>
    </row>
    <row r="39" spans="1:1" x14ac:dyDescent="0.2">
      <c r="A39" s="3"/>
    </row>
    <row r="40" spans="1:1" x14ac:dyDescent="0.2">
      <c r="A40" s="3"/>
    </row>
    <row r="41" spans="1:1" x14ac:dyDescent="0.2">
      <c r="A41" s="3"/>
    </row>
    <row r="42" spans="1:1" x14ac:dyDescent="0.2">
      <c r="A42" s="3"/>
    </row>
    <row r="43" spans="1:1" x14ac:dyDescent="0.2">
      <c r="A43" s="3"/>
    </row>
    <row r="44" spans="1:1" x14ac:dyDescent="0.2">
      <c r="A44" s="3"/>
    </row>
    <row r="45" spans="1:1" x14ac:dyDescent="0.2">
      <c r="A45" s="3"/>
    </row>
    <row r="46" spans="1:1" x14ac:dyDescent="0.2">
      <c r="A46" s="3"/>
    </row>
    <row r="47" spans="1:1" x14ac:dyDescent="0.2">
      <c r="A47" s="3"/>
    </row>
    <row r="48" spans="1:1" x14ac:dyDescent="0.2">
      <c r="A48" s="3"/>
    </row>
    <row r="49" spans="1:1" x14ac:dyDescent="0.2">
      <c r="A49" s="3"/>
    </row>
    <row r="50" spans="1:1" x14ac:dyDescent="0.2">
      <c r="A50" s="3"/>
    </row>
    <row r="51" spans="1:1" x14ac:dyDescent="0.2">
      <c r="A51" s="3"/>
    </row>
    <row r="52" spans="1:1" x14ac:dyDescent="0.2">
      <c r="A52" s="3"/>
    </row>
    <row r="53" spans="1:1" x14ac:dyDescent="0.2">
      <c r="A53" s="3"/>
    </row>
    <row r="54" spans="1:1" x14ac:dyDescent="0.2">
      <c r="A54" s="3"/>
    </row>
    <row r="55" spans="1:1" x14ac:dyDescent="0.2">
      <c r="A55" s="3"/>
    </row>
    <row r="56" spans="1:1" x14ac:dyDescent="0.2">
      <c r="A56" s="3"/>
    </row>
    <row r="57" spans="1:1" x14ac:dyDescent="0.2">
      <c r="A57" s="3"/>
    </row>
    <row r="58" spans="1:1" x14ac:dyDescent="0.2">
      <c r="A58" s="3"/>
    </row>
    <row r="59" spans="1:1" x14ac:dyDescent="0.2">
      <c r="A59" s="3"/>
    </row>
    <row r="60" spans="1:1" x14ac:dyDescent="0.2">
      <c r="A60" s="3"/>
    </row>
    <row r="61" spans="1:1" x14ac:dyDescent="0.2">
      <c r="A61" s="3"/>
    </row>
    <row r="62" spans="1:1" x14ac:dyDescent="0.2">
      <c r="A62" s="3"/>
    </row>
    <row r="63" spans="1:1" x14ac:dyDescent="0.2">
      <c r="A63" s="3"/>
    </row>
    <row r="64" spans="1:1" x14ac:dyDescent="0.2">
      <c r="A64" s="3"/>
    </row>
    <row r="65" spans="1:1" x14ac:dyDescent="0.2">
      <c r="A65" s="3"/>
    </row>
    <row r="66" spans="1:1" x14ac:dyDescent="0.2">
      <c r="A66" s="3"/>
    </row>
    <row r="67" spans="1:1" x14ac:dyDescent="0.2">
      <c r="A67" s="3"/>
    </row>
    <row r="68" spans="1:1" x14ac:dyDescent="0.2">
      <c r="A68" s="3"/>
    </row>
    <row r="69" spans="1:1" x14ac:dyDescent="0.2">
      <c r="A69" s="3"/>
    </row>
    <row r="70" spans="1:1" x14ac:dyDescent="0.2">
      <c r="A70" s="3"/>
    </row>
    <row r="71" spans="1:1" x14ac:dyDescent="0.2">
      <c r="A71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ICP Data</vt:lpstr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O'Loughlin, Edward J.</dc:creator>
  <cp:keywords/>
  <dc:description/>
  <cp:lastModifiedBy>Myers-Pigg, Allison N</cp:lastModifiedBy>
  <cp:revision/>
  <dcterms:created xsi:type="dcterms:W3CDTF">2025-06-04T12:15:26Z</dcterms:created>
  <dcterms:modified xsi:type="dcterms:W3CDTF">2026-04-30T23:54:22Z</dcterms:modified>
  <cp:category/>
  <cp:contentStatus/>
</cp:coreProperties>
</file>