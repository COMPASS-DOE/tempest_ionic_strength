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imj704/Github/tempest_ionic_strength/Data/Exp 2 Ionic Strength NaCl Data/CDOM/"/>
    </mc:Choice>
  </mc:AlternateContent>
  <xr:revisionPtr revIDLastSave="0" documentId="13_ncr:1_{CA1EE8D5-521C-6344-A12E-FFCB9E363C33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log" sheetId="1" r:id="rId1"/>
    <sheet name="descri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G43" i="1"/>
  <c r="G44" i="1"/>
  <c r="G45" i="1"/>
  <c r="G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2" i="1"/>
</calcChain>
</file>

<file path=xl/sharedStrings.xml><?xml version="1.0" encoding="utf-8"?>
<sst xmlns="http://schemas.openxmlformats.org/spreadsheetml/2006/main" count="179" uniqueCount="79">
  <si>
    <t>index</t>
  </si>
  <si>
    <t>analysis_date</t>
  </si>
  <si>
    <t>description</t>
  </si>
  <si>
    <t>data_identifier</t>
  </si>
  <si>
    <t>replicate_no</t>
  </si>
  <si>
    <t>integration_time_s</t>
  </si>
  <si>
    <t>dilution</t>
  </si>
  <si>
    <t>RSU_area_1s</t>
  </si>
  <si>
    <t>run_type</t>
  </si>
  <si>
    <t>collect_date</t>
  </si>
  <si>
    <t>DOC_mg_L</t>
  </si>
  <si>
    <t>Notes</t>
  </si>
  <si>
    <t>Column Header</t>
  </si>
  <si>
    <t>Description</t>
  </si>
  <si>
    <t>Simply the numeric order of entry (e.g. 1, 2, 3, 4, etc…)</t>
  </si>
  <si>
    <t>Data samples were ran on instrument (not collected in the field)</t>
  </si>
  <si>
    <t>A brief description of the sample collected – 60-character max.</t>
  </si>
  <si>
    <t>This description will be displayed on the top of final EEM figures</t>
  </si>
  <si>
    <t>The file name from the aqualog</t>
  </si>
  <si>
    <t>Numeric</t>
  </si>
  <si>
    <t>Analytical Replicates must have identical Sample IDs</t>
  </si>
  <si>
    <t>integration_time</t>
  </si>
  <si>
    <t>Integration time of sample (e.g. 1, 2, etc…)</t>
  </si>
  <si>
    <t>Include dilution factor here as decimal format (e.g. a 2-fold dilution with 1 part sample and 1 part water will have a dilution factor of 0.5).</t>
  </si>
  <si>
    <t>If there's no dillution put a 1</t>
  </si>
  <si>
    <t>The RSU Adjust Area from the Raman Test</t>
  </si>
  <si>
    <t>Use the one from the RSU test with the flowcell unless you're running manually, and then use the one with type 1 water in the cuvette.</t>
  </si>
  <si>
    <t xml:space="preserve">DOC concentration in mg/L of the original sample (not the diluted sample). </t>
  </si>
  <si>
    <t xml:space="preserve">Samples with absorbance at 254 nm greater than 0.3 must be diluted. </t>
  </si>
  <si>
    <t>Either "sampleQ" or "manual" depending on how the sample was run</t>
  </si>
  <si>
    <t>The date the sample was collected (optional)</t>
  </si>
  <si>
    <t>Manual</t>
  </si>
  <si>
    <t>PreT12Apr2401</t>
  </si>
  <si>
    <t>sample</t>
  </si>
  <si>
    <t>MQ</t>
  </si>
  <si>
    <t>TMP.IS.1.2s</t>
  </si>
  <si>
    <t>TMP.IS.2.2s</t>
  </si>
  <si>
    <t>TMP.IS.3.2s</t>
  </si>
  <si>
    <t>TMP.IS.5.2s</t>
  </si>
  <si>
    <t>TMP.IS.4.4s</t>
  </si>
  <si>
    <t>TMP.IS.6.2s</t>
  </si>
  <si>
    <t>TMP.IS.7.2s</t>
  </si>
  <si>
    <t>TMP.IS.8.2s</t>
  </si>
  <si>
    <t>TMP.IS.9.2s</t>
  </si>
  <si>
    <t>TMP.IS.10.2s</t>
  </si>
  <si>
    <t>TMP.IS.11.2s</t>
  </si>
  <si>
    <t>TMP.IS.12.2s</t>
  </si>
  <si>
    <t>TMP.IS.13.2s</t>
  </si>
  <si>
    <t>TMP.IS.14.2s</t>
  </si>
  <si>
    <t>TMP.IS.15.2s</t>
  </si>
  <si>
    <t>TMP.IS.17.2s</t>
  </si>
  <si>
    <t>TMP.IS.18.2s</t>
  </si>
  <si>
    <t>TMP.IS.19.2s</t>
  </si>
  <si>
    <t>TMP.IS.20.2s</t>
  </si>
  <si>
    <t>TMP.IS.16.1s</t>
  </si>
  <si>
    <t>preT16Apr241s</t>
  </si>
  <si>
    <t>PosT12Apr2401</t>
  </si>
  <si>
    <t>TMPIS21 2s</t>
  </si>
  <si>
    <t>TMPIS23 1s</t>
  </si>
  <si>
    <t>TMPIS24 2s</t>
  </si>
  <si>
    <t>TMPIS25 2s</t>
  </si>
  <si>
    <t>TMPIS26 2s</t>
  </si>
  <si>
    <t>TMPIS27 2s</t>
  </si>
  <si>
    <t>TMPIS28 2s</t>
  </si>
  <si>
    <t>TMPIS30 2s</t>
  </si>
  <si>
    <t>TMPIS31 2s</t>
  </si>
  <si>
    <t>TMPIS32 2s</t>
  </si>
  <si>
    <t>TMPIS33 2s</t>
  </si>
  <si>
    <t>TMPIS34 2s</t>
  </si>
  <si>
    <t>TMPIS35 2s</t>
  </si>
  <si>
    <t>pstT16Apr241s</t>
  </si>
  <si>
    <t>preT17Apr241s</t>
  </si>
  <si>
    <t>TMPIS37 1s</t>
  </si>
  <si>
    <t>TMPIS38 1s</t>
  </si>
  <si>
    <t>TMPIS39 2s</t>
  </si>
  <si>
    <t>TMPIS40 2s</t>
  </si>
  <si>
    <t>TMPIS41 2s</t>
  </si>
  <si>
    <t>TMPIS42 2s</t>
  </si>
  <si>
    <t>pstT17Apr241s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</si>
</sst>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5">
    <xf numFmtId="0" fontId="0" fillId="0" borderId="0" xfId="0"/>
    <xf numFmtId="164" fontId="2" fillId="0" borderId="0" xfId="0" applyNumberFormat="1" applyFont="1"/>
    <xf numFmtId="0" fontId="1" fillId="0" borderId="0" xfId="41"/>
    <xf numFmtId="0" fontId="17" fillId="0" borderId="0" xfId="41" applyFont="1"/>
    <xf numFmtId="0" fontId="20" fillId="0" borderId="0" xfId="0" applyFont="1"/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F9A22296-739F-4BD1-8748-9AD8BD8E1932}"/>
    <cellStyle name="Note 2" xfId="42" xr:uid="{5631E5CF-2441-4487-8C97-7405946D524F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workbookViewId="0">
      <selection activeCell="L15" sqref="L15"/>
    </sheetView>
  </sheetViews>
  <sheetFormatPr baseColWidth="10" defaultColWidth="10.83203125" defaultRowHeight="15" x14ac:dyDescent="0.2"/>
  <cols>
    <col min="3" max="3" width="23.83203125" customWidth="1"/>
    <col min="4" max="4" width="24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33</v>
      </c>
      <c r="O1" t="s">
        <v>34</v>
      </c>
    </row>
    <row r="2" spans="1:18" x14ac:dyDescent="0.2">
      <c r="A2">
        <v>1</v>
      </c>
      <c r="B2" s="1">
        <v>45394</v>
      </c>
      <c r="C2" t="s">
        <v>32</v>
      </c>
      <c r="D2" t="s">
        <v>32</v>
      </c>
      <c r="E2">
        <v>1</v>
      </c>
      <c r="F2">
        <v>0.1</v>
      </c>
      <c r="G2">
        <f>N2/3</f>
        <v>1</v>
      </c>
      <c r="H2">
        <v>3055</v>
      </c>
      <c r="I2" t="s">
        <v>31</v>
      </c>
      <c r="J2" s="1"/>
      <c r="K2" s="4">
        <v>1</v>
      </c>
      <c r="N2">
        <v>3</v>
      </c>
      <c r="Q2" s="4"/>
      <c r="R2" s="4"/>
    </row>
    <row r="3" spans="1:18" x14ac:dyDescent="0.2">
      <c r="A3">
        <v>2</v>
      </c>
      <c r="B3" s="1">
        <v>45394</v>
      </c>
      <c r="C3" t="s">
        <v>35</v>
      </c>
      <c r="D3" t="s">
        <v>35</v>
      </c>
      <c r="E3">
        <v>1</v>
      </c>
      <c r="F3">
        <v>2</v>
      </c>
      <c r="G3">
        <f t="shared" ref="G3:G46" si="0">N3/3</f>
        <v>1</v>
      </c>
      <c r="H3">
        <v>3055</v>
      </c>
      <c r="I3" t="s">
        <v>31</v>
      </c>
      <c r="J3" s="1"/>
      <c r="K3" s="4">
        <v>0.26</v>
      </c>
      <c r="N3">
        <v>3</v>
      </c>
      <c r="Q3" s="4"/>
      <c r="R3" s="4"/>
    </row>
    <row r="4" spans="1:18" x14ac:dyDescent="0.2">
      <c r="A4">
        <v>3</v>
      </c>
      <c r="B4" s="1">
        <v>45394</v>
      </c>
      <c r="C4" t="s">
        <v>36</v>
      </c>
      <c r="D4" t="s">
        <v>36</v>
      </c>
      <c r="E4">
        <v>1</v>
      </c>
      <c r="F4">
        <v>2</v>
      </c>
      <c r="G4">
        <f t="shared" si="0"/>
        <v>0.16666666666666666</v>
      </c>
      <c r="H4">
        <v>3055</v>
      </c>
      <c r="I4" t="s">
        <v>31</v>
      </c>
      <c r="J4" s="1"/>
      <c r="K4">
        <v>18.04</v>
      </c>
      <c r="N4">
        <v>0.5</v>
      </c>
      <c r="Q4" s="4"/>
      <c r="R4" s="4"/>
    </row>
    <row r="5" spans="1:18" x14ac:dyDescent="0.2">
      <c r="A5">
        <v>4</v>
      </c>
      <c r="B5" s="1">
        <v>45394</v>
      </c>
      <c r="C5" t="s">
        <v>37</v>
      </c>
      <c r="D5" t="s">
        <v>37</v>
      </c>
      <c r="E5">
        <v>1</v>
      </c>
      <c r="F5">
        <v>2</v>
      </c>
      <c r="G5">
        <f t="shared" si="0"/>
        <v>0.17666666666666667</v>
      </c>
      <c r="H5">
        <v>3055</v>
      </c>
      <c r="I5" t="s">
        <v>31</v>
      </c>
      <c r="J5" s="1"/>
      <c r="K5">
        <v>13.076666666666668</v>
      </c>
      <c r="N5">
        <v>0.53</v>
      </c>
      <c r="Q5" s="4"/>
    </row>
    <row r="6" spans="1:18" x14ac:dyDescent="0.2">
      <c r="A6">
        <v>5</v>
      </c>
      <c r="B6" s="1">
        <v>45394</v>
      </c>
      <c r="C6" t="s">
        <v>39</v>
      </c>
      <c r="D6" t="s">
        <v>39</v>
      </c>
      <c r="E6">
        <v>1</v>
      </c>
      <c r="F6">
        <v>4</v>
      </c>
      <c r="G6">
        <f t="shared" si="0"/>
        <v>0.24333333333333332</v>
      </c>
      <c r="H6">
        <v>3055</v>
      </c>
      <c r="I6" t="s">
        <v>31</v>
      </c>
      <c r="J6" s="1"/>
      <c r="K6">
        <v>9.2000000000000011</v>
      </c>
      <c r="N6">
        <v>0.73</v>
      </c>
      <c r="Q6" s="4"/>
      <c r="R6" s="4"/>
    </row>
    <row r="7" spans="1:18" x14ac:dyDescent="0.2">
      <c r="A7">
        <v>6</v>
      </c>
      <c r="B7" s="1">
        <v>45394</v>
      </c>
      <c r="C7" t="s">
        <v>38</v>
      </c>
      <c r="D7" t="s">
        <v>38</v>
      </c>
      <c r="E7">
        <v>1</v>
      </c>
      <c r="F7">
        <v>2</v>
      </c>
      <c r="G7">
        <f t="shared" si="0"/>
        <v>0.25</v>
      </c>
      <c r="H7">
        <v>3055</v>
      </c>
      <c r="I7" t="s">
        <v>31</v>
      </c>
      <c r="J7" s="1"/>
      <c r="K7">
        <v>8.2466666666666679</v>
      </c>
      <c r="N7">
        <v>0.75</v>
      </c>
      <c r="Q7" s="4"/>
      <c r="R7" s="4"/>
    </row>
    <row r="8" spans="1:18" x14ac:dyDescent="0.2">
      <c r="A8">
        <v>7</v>
      </c>
      <c r="B8" s="1">
        <v>45394</v>
      </c>
      <c r="C8" t="s">
        <v>40</v>
      </c>
      <c r="D8" t="s">
        <v>40</v>
      </c>
      <c r="E8">
        <v>1</v>
      </c>
      <c r="F8">
        <v>2</v>
      </c>
      <c r="G8">
        <f t="shared" si="0"/>
        <v>0.28999999999999998</v>
      </c>
      <c r="H8">
        <v>3055</v>
      </c>
      <c r="I8" t="s">
        <v>31</v>
      </c>
      <c r="J8" s="1"/>
      <c r="K8">
        <v>7.1099999999999994</v>
      </c>
      <c r="N8">
        <v>0.87</v>
      </c>
      <c r="Q8" s="4"/>
      <c r="R8" s="4"/>
    </row>
    <row r="9" spans="1:18" x14ac:dyDescent="0.2">
      <c r="A9">
        <v>8</v>
      </c>
      <c r="B9" s="1">
        <v>45394</v>
      </c>
      <c r="C9" t="s">
        <v>41</v>
      </c>
      <c r="D9" t="s">
        <v>41</v>
      </c>
      <c r="E9">
        <v>1</v>
      </c>
      <c r="F9">
        <v>2</v>
      </c>
      <c r="G9">
        <f t="shared" si="0"/>
        <v>0.28333333333333333</v>
      </c>
      <c r="H9">
        <v>3055</v>
      </c>
      <c r="I9" t="s">
        <v>31</v>
      </c>
      <c r="J9" s="1"/>
      <c r="K9">
        <v>7.003333333333333</v>
      </c>
      <c r="N9">
        <v>0.85</v>
      </c>
      <c r="Q9" s="4"/>
      <c r="R9" s="4"/>
    </row>
    <row r="10" spans="1:18" x14ac:dyDescent="0.2">
      <c r="A10">
        <v>9</v>
      </c>
      <c r="B10" s="1">
        <v>45394</v>
      </c>
      <c r="C10" t="s">
        <v>42</v>
      </c>
      <c r="D10" t="s">
        <v>42</v>
      </c>
      <c r="E10">
        <v>1</v>
      </c>
      <c r="F10">
        <v>2</v>
      </c>
      <c r="G10">
        <f t="shared" si="0"/>
        <v>1</v>
      </c>
      <c r="H10">
        <v>3055</v>
      </c>
      <c r="I10" t="s">
        <v>31</v>
      </c>
      <c r="J10" s="1"/>
      <c r="K10" s="4">
        <v>0.21</v>
      </c>
      <c r="N10">
        <v>3</v>
      </c>
      <c r="Q10" s="4"/>
      <c r="R10" s="4"/>
    </row>
    <row r="11" spans="1:18" x14ac:dyDescent="0.2">
      <c r="A11">
        <v>10</v>
      </c>
      <c r="B11" s="1">
        <v>45394</v>
      </c>
      <c r="C11" t="s">
        <v>43</v>
      </c>
      <c r="D11" t="s">
        <v>43</v>
      </c>
      <c r="E11">
        <v>1</v>
      </c>
      <c r="F11">
        <v>2</v>
      </c>
      <c r="G11">
        <f t="shared" si="0"/>
        <v>0.26666666666666666</v>
      </c>
      <c r="H11">
        <v>3055</v>
      </c>
      <c r="I11" t="s">
        <v>31</v>
      </c>
      <c r="J11" s="1"/>
      <c r="K11">
        <v>10.826666666666666</v>
      </c>
      <c r="N11">
        <v>0.8</v>
      </c>
      <c r="Q11" s="4"/>
      <c r="R11" s="4"/>
    </row>
    <row r="12" spans="1:18" x14ac:dyDescent="0.2">
      <c r="A12">
        <v>11</v>
      </c>
      <c r="B12" s="1">
        <v>45394</v>
      </c>
      <c r="C12" t="s">
        <v>44</v>
      </c>
      <c r="D12" t="s">
        <v>44</v>
      </c>
      <c r="E12">
        <v>1</v>
      </c>
      <c r="F12">
        <v>2</v>
      </c>
      <c r="G12">
        <f t="shared" si="0"/>
        <v>0.13666666666666666</v>
      </c>
      <c r="H12">
        <v>3055</v>
      </c>
      <c r="I12" t="s">
        <v>31</v>
      </c>
      <c r="J12" s="1"/>
      <c r="K12">
        <v>16.510000000000002</v>
      </c>
      <c r="N12">
        <v>0.41</v>
      </c>
      <c r="Q12" s="4"/>
      <c r="R12" s="4"/>
    </row>
    <row r="13" spans="1:18" x14ac:dyDescent="0.2">
      <c r="A13">
        <v>12</v>
      </c>
      <c r="B13" s="1">
        <v>45394</v>
      </c>
      <c r="C13" t="s">
        <v>45</v>
      </c>
      <c r="D13" t="s">
        <v>45</v>
      </c>
      <c r="E13">
        <v>1</v>
      </c>
      <c r="F13">
        <v>2</v>
      </c>
      <c r="G13">
        <f t="shared" si="0"/>
        <v>0.17</v>
      </c>
      <c r="H13">
        <v>3055</v>
      </c>
      <c r="I13" t="s">
        <v>31</v>
      </c>
      <c r="J13" s="1"/>
      <c r="K13">
        <v>12.656666666666666</v>
      </c>
      <c r="N13">
        <v>0.51</v>
      </c>
      <c r="Q13" s="4"/>
      <c r="R13" s="4"/>
    </row>
    <row r="14" spans="1:18" x14ac:dyDescent="0.2">
      <c r="A14">
        <v>13</v>
      </c>
      <c r="B14" s="1">
        <v>45394</v>
      </c>
      <c r="C14" t="s">
        <v>46</v>
      </c>
      <c r="D14" t="s">
        <v>46</v>
      </c>
      <c r="E14">
        <v>1</v>
      </c>
      <c r="F14">
        <v>2</v>
      </c>
      <c r="G14">
        <f t="shared" si="0"/>
        <v>0.20666666666666667</v>
      </c>
      <c r="H14">
        <v>3055</v>
      </c>
      <c r="I14" t="s">
        <v>31</v>
      </c>
      <c r="J14" s="1"/>
      <c r="K14">
        <v>9.92</v>
      </c>
      <c r="N14">
        <v>0.62</v>
      </c>
      <c r="Q14" s="4"/>
      <c r="R14" s="4"/>
    </row>
    <row r="15" spans="1:18" x14ac:dyDescent="0.2">
      <c r="A15">
        <v>14</v>
      </c>
      <c r="B15" s="1">
        <v>45394</v>
      </c>
      <c r="C15" t="s">
        <v>47</v>
      </c>
      <c r="D15" t="s">
        <v>47</v>
      </c>
      <c r="E15">
        <v>1</v>
      </c>
      <c r="F15">
        <v>2</v>
      </c>
      <c r="G15">
        <f t="shared" si="0"/>
        <v>0.3066666666666667</v>
      </c>
      <c r="H15">
        <v>3055</v>
      </c>
      <c r="I15" t="s">
        <v>31</v>
      </c>
      <c r="J15" s="1"/>
      <c r="K15">
        <v>7.2033333333333331</v>
      </c>
      <c r="N15">
        <v>0.92</v>
      </c>
      <c r="Q15" s="4"/>
      <c r="R15" s="4"/>
    </row>
    <row r="16" spans="1:18" x14ac:dyDescent="0.2">
      <c r="A16">
        <v>15</v>
      </c>
      <c r="B16" s="1">
        <v>45394</v>
      </c>
      <c r="C16" t="s">
        <v>48</v>
      </c>
      <c r="D16" t="s">
        <v>48</v>
      </c>
      <c r="E16">
        <v>1</v>
      </c>
      <c r="F16">
        <v>2</v>
      </c>
      <c r="G16">
        <f t="shared" si="0"/>
        <v>0.33333333333333331</v>
      </c>
      <c r="H16">
        <v>3055</v>
      </c>
      <c r="I16" t="s">
        <v>31</v>
      </c>
      <c r="J16" s="1"/>
      <c r="K16">
        <v>6.4433333333333342</v>
      </c>
      <c r="N16">
        <v>1</v>
      </c>
      <c r="Q16" s="4"/>
      <c r="R16" s="4"/>
    </row>
    <row r="17" spans="1:18" x14ac:dyDescent="0.2">
      <c r="A17">
        <v>16</v>
      </c>
      <c r="B17" s="1">
        <v>45394</v>
      </c>
      <c r="C17" t="s">
        <v>49</v>
      </c>
      <c r="D17" t="s">
        <v>49</v>
      </c>
      <c r="E17">
        <v>1</v>
      </c>
      <c r="F17">
        <v>2</v>
      </c>
      <c r="G17">
        <f t="shared" si="0"/>
        <v>1</v>
      </c>
      <c r="H17">
        <v>3055</v>
      </c>
      <c r="I17" t="s">
        <v>31</v>
      </c>
      <c r="J17" s="1"/>
      <c r="K17" s="4">
        <v>0.2</v>
      </c>
      <c r="N17">
        <v>3</v>
      </c>
      <c r="Q17" s="4"/>
      <c r="R17" s="4"/>
    </row>
    <row r="18" spans="1:18" x14ac:dyDescent="0.2">
      <c r="A18">
        <v>17</v>
      </c>
      <c r="B18" s="1">
        <v>45394</v>
      </c>
      <c r="C18" t="s">
        <v>54</v>
      </c>
      <c r="D18" t="s">
        <v>54</v>
      </c>
      <c r="E18">
        <v>1</v>
      </c>
      <c r="F18">
        <v>1</v>
      </c>
      <c r="G18">
        <f t="shared" si="0"/>
        <v>0.69666666666666666</v>
      </c>
      <c r="H18">
        <v>3055</v>
      </c>
      <c r="I18" t="s">
        <v>31</v>
      </c>
      <c r="J18" s="1"/>
      <c r="K18">
        <v>5.12</v>
      </c>
      <c r="N18">
        <v>2.09</v>
      </c>
      <c r="Q18" s="4"/>
      <c r="R18" s="4"/>
    </row>
    <row r="19" spans="1:18" x14ac:dyDescent="0.2">
      <c r="A19">
        <v>18</v>
      </c>
      <c r="B19" s="1">
        <v>45394</v>
      </c>
      <c r="C19" t="s">
        <v>50</v>
      </c>
      <c r="D19" t="s">
        <v>50</v>
      </c>
      <c r="E19">
        <v>1</v>
      </c>
      <c r="F19">
        <v>2</v>
      </c>
      <c r="G19">
        <f t="shared" si="0"/>
        <v>0.13</v>
      </c>
      <c r="H19">
        <v>3055</v>
      </c>
      <c r="I19" t="s">
        <v>31</v>
      </c>
      <c r="J19" s="1"/>
      <c r="K19">
        <v>19.893333333333331</v>
      </c>
      <c r="N19">
        <v>0.39</v>
      </c>
      <c r="Q19" s="4"/>
      <c r="R19" s="4"/>
    </row>
    <row r="20" spans="1:18" x14ac:dyDescent="0.2">
      <c r="A20">
        <v>19</v>
      </c>
      <c r="B20" s="1">
        <v>45394</v>
      </c>
      <c r="C20" t="s">
        <v>51</v>
      </c>
      <c r="D20" t="s">
        <v>51</v>
      </c>
      <c r="E20">
        <v>1</v>
      </c>
      <c r="F20">
        <v>2</v>
      </c>
      <c r="G20">
        <f t="shared" si="0"/>
        <v>0.12</v>
      </c>
      <c r="H20">
        <v>3055</v>
      </c>
      <c r="I20" t="s">
        <v>31</v>
      </c>
      <c r="J20" s="1"/>
      <c r="K20">
        <v>18.976666666666667</v>
      </c>
      <c r="N20">
        <v>0.36</v>
      </c>
      <c r="Q20" s="4"/>
      <c r="R20" s="4"/>
    </row>
    <row r="21" spans="1:18" x14ac:dyDescent="0.2">
      <c r="A21">
        <v>20</v>
      </c>
      <c r="B21" s="1">
        <v>45394</v>
      </c>
      <c r="C21" t="s">
        <v>52</v>
      </c>
      <c r="D21" t="s">
        <v>52</v>
      </c>
      <c r="E21">
        <v>1</v>
      </c>
      <c r="F21">
        <v>2</v>
      </c>
      <c r="G21">
        <f t="shared" si="0"/>
        <v>0.15</v>
      </c>
      <c r="H21">
        <v>3055</v>
      </c>
      <c r="I21" t="s">
        <v>31</v>
      </c>
      <c r="J21" s="1"/>
      <c r="K21">
        <v>14.180000000000001</v>
      </c>
      <c r="N21">
        <v>0.45</v>
      </c>
      <c r="Q21" s="4"/>
      <c r="R21" s="4"/>
    </row>
    <row r="22" spans="1:18" x14ac:dyDescent="0.2">
      <c r="A22">
        <v>21</v>
      </c>
      <c r="B22" s="1">
        <v>45394</v>
      </c>
      <c r="C22" t="s">
        <v>53</v>
      </c>
      <c r="D22" t="s">
        <v>53</v>
      </c>
      <c r="E22">
        <v>1</v>
      </c>
      <c r="F22">
        <v>2</v>
      </c>
      <c r="G22">
        <f t="shared" si="0"/>
        <v>0.18000000000000002</v>
      </c>
      <c r="H22">
        <v>3055</v>
      </c>
      <c r="I22" t="s">
        <v>31</v>
      </c>
      <c r="J22" s="1"/>
      <c r="K22">
        <v>11.36</v>
      </c>
      <c r="N22">
        <v>0.54</v>
      </c>
      <c r="Q22" s="4"/>
      <c r="R22" s="4"/>
    </row>
    <row r="23" spans="1:18" x14ac:dyDescent="0.2">
      <c r="A23">
        <v>22</v>
      </c>
      <c r="B23" s="1">
        <v>45394</v>
      </c>
      <c r="C23" t="s">
        <v>56</v>
      </c>
      <c r="D23" t="s">
        <v>56</v>
      </c>
      <c r="E23">
        <v>1</v>
      </c>
      <c r="F23">
        <v>0.1</v>
      </c>
      <c r="G23">
        <f t="shared" si="0"/>
        <v>1</v>
      </c>
      <c r="H23">
        <v>3055</v>
      </c>
      <c r="I23" t="s">
        <v>31</v>
      </c>
      <c r="J23" s="1"/>
      <c r="K23" s="4">
        <v>1</v>
      </c>
      <c r="N23">
        <v>3</v>
      </c>
      <c r="Q23" s="4"/>
      <c r="R23" s="4"/>
    </row>
    <row r="24" spans="1:18" x14ac:dyDescent="0.2">
      <c r="A24">
        <v>23</v>
      </c>
      <c r="B24" s="1">
        <v>45398</v>
      </c>
      <c r="C24" t="s">
        <v>55</v>
      </c>
      <c r="D24" t="s">
        <v>55</v>
      </c>
      <c r="E24">
        <v>1</v>
      </c>
      <c r="F24">
        <v>1</v>
      </c>
      <c r="G24">
        <f t="shared" si="0"/>
        <v>1</v>
      </c>
      <c r="H24">
        <v>3008</v>
      </c>
      <c r="I24" t="s">
        <v>31</v>
      </c>
      <c r="J24" s="1"/>
      <c r="K24" s="4">
        <v>1</v>
      </c>
      <c r="N24">
        <v>3</v>
      </c>
      <c r="Q24" s="4"/>
      <c r="R24" s="4"/>
    </row>
    <row r="25" spans="1:18" x14ac:dyDescent="0.2">
      <c r="A25">
        <v>24</v>
      </c>
      <c r="B25" s="1">
        <v>45398</v>
      </c>
      <c r="C25" t="s">
        <v>57</v>
      </c>
      <c r="D25" t="s">
        <v>57</v>
      </c>
      <c r="E25">
        <v>1</v>
      </c>
      <c r="F25">
        <v>2</v>
      </c>
      <c r="G25">
        <f t="shared" si="0"/>
        <v>0.16666666666666666</v>
      </c>
      <c r="H25">
        <v>3008</v>
      </c>
      <c r="I25" t="s">
        <v>31</v>
      </c>
      <c r="J25" s="1"/>
      <c r="K25">
        <v>9.6066666666666674</v>
      </c>
      <c r="N25">
        <v>0.5</v>
      </c>
      <c r="Q25" s="4"/>
      <c r="R25" s="4"/>
    </row>
    <row r="26" spans="1:18" x14ac:dyDescent="0.2">
      <c r="A26">
        <v>25</v>
      </c>
      <c r="B26" s="1">
        <v>45398</v>
      </c>
      <c r="C26" t="s">
        <v>58</v>
      </c>
      <c r="D26" t="s">
        <v>58</v>
      </c>
      <c r="E26">
        <v>1</v>
      </c>
      <c r="F26">
        <v>1</v>
      </c>
      <c r="G26">
        <f t="shared" si="0"/>
        <v>1</v>
      </c>
      <c r="H26">
        <v>3008</v>
      </c>
      <c r="I26" t="s">
        <v>31</v>
      </c>
      <c r="J26" s="1"/>
      <c r="K26">
        <v>5.3500000000000005</v>
      </c>
      <c r="N26">
        <v>3</v>
      </c>
      <c r="Q26" s="4"/>
      <c r="R26" s="4"/>
    </row>
    <row r="27" spans="1:18" x14ac:dyDescent="0.2">
      <c r="A27">
        <v>26</v>
      </c>
      <c r="B27" s="1">
        <v>45398</v>
      </c>
      <c r="C27" t="s">
        <v>59</v>
      </c>
      <c r="D27" t="s">
        <v>59</v>
      </c>
      <c r="E27">
        <v>1</v>
      </c>
      <c r="F27">
        <v>2</v>
      </c>
      <c r="G27">
        <f t="shared" si="0"/>
        <v>0.12</v>
      </c>
      <c r="H27">
        <v>3008</v>
      </c>
      <c r="I27" t="s">
        <v>31</v>
      </c>
      <c r="J27" s="1"/>
      <c r="K27">
        <v>22.036666666666665</v>
      </c>
      <c r="N27">
        <v>0.36</v>
      </c>
      <c r="Q27" s="4"/>
      <c r="R27" s="4"/>
    </row>
    <row r="28" spans="1:18" x14ac:dyDescent="0.2">
      <c r="A28">
        <v>27</v>
      </c>
      <c r="B28" s="1">
        <v>45398</v>
      </c>
      <c r="C28" t="s">
        <v>60</v>
      </c>
      <c r="D28" t="s">
        <v>60</v>
      </c>
      <c r="E28">
        <v>1</v>
      </c>
      <c r="F28">
        <v>2</v>
      </c>
      <c r="G28">
        <f t="shared" si="0"/>
        <v>0.08</v>
      </c>
      <c r="H28">
        <v>3008</v>
      </c>
      <c r="I28" t="s">
        <v>31</v>
      </c>
      <c r="J28" s="1"/>
      <c r="K28">
        <v>28.81</v>
      </c>
      <c r="N28">
        <v>0.24</v>
      </c>
      <c r="Q28" s="4"/>
      <c r="R28" s="4"/>
    </row>
    <row r="29" spans="1:18" x14ac:dyDescent="0.2">
      <c r="A29">
        <v>28</v>
      </c>
      <c r="B29" s="1">
        <v>45398</v>
      </c>
      <c r="C29" t="s">
        <v>61</v>
      </c>
      <c r="D29" t="s">
        <v>61</v>
      </c>
      <c r="E29">
        <v>1</v>
      </c>
      <c r="F29">
        <v>2</v>
      </c>
      <c r="G29">
        <f t="shared" si="0"/>
        <v>9.6666666666666665E-2</v>
      </c>
      <c r="H29">
        <v>3008</v>
      </c>
      <c r="I29" t="s">
        <v>31</v>
      </c>
      <c r="J29" s="1"/>
      <c r="K29">
        <v>21.313333333333333</v>
      </c>
      <c r="N29">
        <v>0.28999999999999998</v>
      </c>
      <c r="Q29" s="4"/>
      <c r="R29" s="4"/>
    </row>
    <row r="30" spans="1:18" x14ac:dyDescent="0.2">
      <c r="A30">
        <v>29</v>
      </c>
      <c r="B30" s="1">
        <v>45398</v>
      </c>
      <c r="C30" t="s">
        <v>62</v>
      </c>
      <c r="D30" t="s">
        <v>62</v>
      </c>
      <c r="E30">
        <v>1</v>
      </c>
      <c r="F30">
        <v>2</v>
      </c>
      <c r="G30">
        <f t="shared" si="0"/>
        <v>0.15</v>
      </c>
      <c r="H30">
        <v>3008</v>
      </c>
      <c r="I30" t="s">
        <v>31</v>
      </c>
      <c r="J30" s="1"/>
      <c r="K30">
        <v>13.966666666666667</v>
      </c>
      <c r="N30">
        <v>0.45</v>
      </c>
      <c r="Q30" s="4"/>
      <c r="R30" s="4"/>
    </row>
    <row r="31" spans="1:18" x14ac:dyDescent="0.2">
      <c r="A31">
        <v>30</v>
      </c>
      <c r="B31" s="1">
        <v>45398</v>
      </c>
      <c r="C31" t="s">
        <v>63</v>
      </c>
      <c r="D31" t="s">
        <v>63</v>
      </c>
      <c r="E31">
        <v>1</v>
      </c>
      <c r="F31">
        <v>2</v>
      </c>
      <c r="G31">
        <f t="shared" si="0"/>
        <v>0.16666666666666666</v>
      </c>
      <c r="H31">
        <v>3008</v>
      </c>
      <c r="I31" t="s">
        <v>31</v>
      </c>
      <c r="K31">
        <v>11.943333333333333</v>
      </c>
      <c r="N31">
        <v>0.5</v>
      </c>
      <c r="Q31" s="4"/>
      <c r="R31" s="4"/>
    </row>
    <row r="32" spans="1:18" x14ac:dyDescent="0.2">
      <c r="A32">
        <v>31</v>
      </c>
      <c r="B32" s="1">
        <v>45398</v>
      </c>
      <c r="C32" t="s">
        <v>64</v>
      </c>
      <c r="D32" t="s">
        <v>64</v>
      </c>
      <c r="E32">
        <v>1</v>
      </c>
      <c r="F32">
        <v>2</v>
      </c>
      <c r="G32">
        <f t="shared" si="0"/>
        <v>1</v>
      </c>
      <c r="H32">
        <v>3008</v>
      </c>
      <c r="I32" t="s">
        <v>31</v>
      </c>
      <c r="K32">
        <v>5.8066666666666658</v>
      </c>
      <c r="N32">
        <v>3</v>
      </c>
      <c r="Q32" s="4"/>
      <c r="R32" s="4"/>
    </row>
    <row r="33" spans="1:18" x14ac:dyDescent="0.2">
      <c r="A33">
        <v>32</v>
      </c>
      <c r="B33" s="1">
        <v>45398</v>
      </c>
      <c r="C33" t="s">
        <v>65</v>
      </c>
      <c r="D33" t="s">
        <v>65</v>
      </c>
      <c r="E33">
        <v>1</v>
      </c>
      <c r="F33">
        <v>2</v>
      </c>
      <c r="G33">
        <f t="shared" si="0"/>
        <v>0.16666666666666666</v>
      </c>
      <c r="H33">
        <v>3008</v>
      </c>
      <c r="I33" t="s">
        <v>31</v>
      </c>
      <c r="K33">
        <v>14.253333333333332</v>
      </c>
      <c r="N33">
        <v>0.5</v>
      </c>
      <c r="Q33" s="4"/>
      <c r="R33" s="4"/>
    </row>
    <row r="34" spans="1:18" x14ac:dyDescent="0.2">
      <c r="A34">
        <v>33</v>
      </c>
      <c r="B34" s="1">
        <v>45398</v>
      </c>
      <c r="C34" t="s">
        <v>66</v>
      </c>
      <c r="D34" t="s">
        <v>66</v>
      </c>
      <c r="E34">
        <v>2</v>
      </c>
      <c r="F34">
        <v>2</v>
      </c>
      <c r="G34">
        <f t="shared" si="0"/>
        <v>5.566666666666667E-2</v>
      </c>
      <c r="H34">
        <v>3008</v>
      </c>
      <c r="I34" t="s">
        <v>31</v>
      </c>
      <c r="K34">
        <v>45.763333333333328</v>
      </c>
      <c r="N34">
        <v>0.16700000000000001</v>
      </c>
      <c r="Q34" s="4"/>
      <c r="R34" s="4"/>
    </row>
    <row r="35" spans="1:18" x14ac:dyDescent="0.2">
      <c r="A35">
        <v>34</v>
      </c>
      <c r="B35" s="1">
        <v>45398</v>
      </c>
      <c r="C35" t="s">
        <v>67</v>
      </c>
      <c r="D35" t="s">
        <v>67</v>
      </c>
      <c r="E35">
        <v>1</v>
      </c>
      <c r="F35">
        <v>2</v>
      </c>
      <c r="G35">
        <f t="shared" si="0"/>
        <v>7.6666666666666675E-2</v>
      </c>
      <c r="H35">
        <v>3008</v>
      </c>
      <c r="I35" t="s">
        <v>31</v>
      </c>
      <c r="K35">
        <v>30.526666666666671</v>
      </c>
      <c r="N35">
        <v>0.23</v>
      </c>
      <c r="Q35" s="4"/>
      <c r="R35" s="4"/>
    </row>
    <row r="36" spans="1:18" x14ac:dyDescent="0.2">
      <c r="A36">
        <v>35</v>
      </c>
      <c r="B36" s="1">
        <v>45398</v>
      </c>
      <c r="C36" t="s">
        <v>68</v>
      </c>
      <c r="D36" t="s">
        <v>68</v>
      </c>
      <c r="E36">
        <v>1</v>
      </c>
      <c r="F36">
        <v>2</v>
      </c>
      <c r="G36">
        <f t="shared" si="0"/>
        <v>9.6666666666666665E-2</v>
      </c>
      <c r="H36">
        <v>3008</v>
      </c>
      <c r="I36" t="s">
        <v>31</v>
      </c>
      <c r="K36">
        <v>22.586666666666662</v>
      </c>
      <c r="N36">
        <v>0.28999999999999998</v>
      </c>
      <c r="Q36" s="4"/>
      <c r="R36" s="4"/>
    </row>
    <row r="37" spans="1:18" x14ac:dyDescent="0.2">
      <c r="A37">
        <v>36</v>
      </c>
      <c r="B37" s="1">
        <v>45398</v>
      </c>
      <c r="C37" t="s">
        <v>69</v>
      </c>
      <c r="D37" t="s">
        <v>69</v>
      </c>
      <c r="E37">
        <v>1</v>
      </c>
      <c r="F37">
        <v>2</v>
      </c>
      <c r="G37">
        <f t="shared" si="0"/>
        <v>0.13333333333333333</v>
      </c>
      <c r="H37">
        <v>3008</v>
      </c>
      <c r="I37" t="s">
        <v>31</v>
      </c>
      <c r="K37">
        <v>15.916666666666666</v>
      </c>
      <c r="N37">
        <v>0.4</v>
      </c>
      <c r="Q37" s="4"/>
      <c r="R37" s="4"/>
    </row>
    <row r="38" spans="1:18" x14ac:dyDescent="0.2">
      <c r="A38">
        <v>37</v>
      </c>
      <c r="B38" s="1">
        <v>45398</v>
      </c>
      <c r="C38" t="s">
        <v>70</v>
      </c>
      <c r="D38" t="s">
        <v>70</v>
      </c>
      <c r="E38">
        <v>2</v>
      </c>
      <c r="F38">
        <v>1</v>
      </c>
      <c r="G38">
        <f t="shared" si="0"/>
        <v>1</v>
      </c>
      <c r="H38">
        <v>3008</v>
      </c>
      <c r="I38" t="s">
        <v>31</v>
      </c>
      <c r="K38" s="4">
        <v>1</v>
      </c>
      <c r="N38">
        <v>3</v>
      </c>
      <c r="Q38" s="4"/>
      <c r="R38" s="4"/>
    </row>
    <row r="39" spans="1:18" x14ac:dyDescent="0.2">
      <c r="A39">
        <v>38</v>
      </c>
      <c r="B39" s="1">
        <v>45399</v>
      </c>
      <c r="C39" t="s">
        <v>71</v>
      </c>
      <c r="D39" t="s">
        <v>71</v>
      </c>
      <c r="E39">
        <v>1</v>
      </c>
      <c r="F39">
        <v>1</v>
      </c>
      <c r="G39">
        <f t="shared" si="0"/>
        <v>1</v>
      </c>
      <c r="H39">
        <v>2997</v>
      </c>
      <c r="I39" t="s">
        <v>31</v>
      </c>
      <c r="K39" s="4">
        <v>1</v>
      </c>
      <c r="N39">
        <v>3</v>
      </c>
      <c r="Q39" s="4"/>
      <c r="R39" s="4"/>
    </row>
    <row r="40" spans="1:18" x14ac:dyDescent="0.2">
      <c r="A40">
        <v>39</v>
      </c>
      <c r="B40" s="1">
        <v>45399</v>
      </c>
      <c r="C40" t="s">
        <v>72</v>
      </c>
      <c r="D40" t="s">
        <v>72</v>
      </c>
      <c r="E40">
        <v>1</v>
      </c>
      <c r="F40">
        <v>1</v>
      </c>
      <c r="G40">
        <f t="shared" si="0"/>
        <v>1</v>
      </c>
      <c r="H40">
        <v>2997</v>
      </c>
      <c r="I40" t="s">
        <v>31</v>
      </c>
      <c r="K40">
        <v>9.31</v>
      </c>
      <c r="N40">
        <v>3</v>
      </c>
      <c r="Q40" s="4"/>
      <c r="R40" s="4"/>
    </row>
    <row r="41" spans="1:18" x14ac:dyDescent="0.2">
      <c r="A41">
        <v>40</v>
      </c>
      <c r="B41" s="1">
        <v>45399</v>
      </c>
      <c r="C41" t="s">
        <v>73</v>
      </c>
      <c r="D41" t="s">
        <v>73</v>
      </c>
      <c r="E41">
        <v>1</v>
      </c>
      <c r="F41">
        <v>1</v>
      </c>
      <c r="G41">
        <f t="shared" si="0"/>
        <v>1</v>
      </c>
      <c r="H41">
        <v>2997</v>
      </c>
      <c r="I41" t="s">
        <v>31</v>
      </c>
      <c r="K41">
        <v>7.5733333333333333</v>
      </c>
      <c r="N41">
        <v>3</v>
      </c>
      <c r="Q41" s="4"/>
      <c r="R41" s="4"/>
    </row>
    <row r="42" spans="1:18" x14ac:dyDescent="0.2">
      <c r="A42">
        <v>41</v>
      </c>
      <c r="B42" s="1">
        <v>45399</v>
      </c>
      <c r="C42" t="s">
        <v>74</v>
      </c>
      <c r="D42" t="s">
        <v>74</v>
      </c>
      <c r="E42">
        <v>1</v>
      </c>
      <c r="F42">
        <v>2</v>
      </c>
      <c r="G42">
        <f t="shared" si="0"/>
        <v>4.5666666666666668E-2</v>
      </c>
      <c r="H42">
        <v>2997</v>
      </c>
      <c r="I42" t="s">
        <v>31</v>
      </c>
      <c r="K42">
        <v>55.74</v>
      </c>
      <c r="N42">
        <v>0.13700000000000001</v>
      </c>
      <c r="Q42" s="4"/>
      <c r="R42" s="4"/>
    </row>
    <row r="43" spans="1:18" x14ac:dyDescent="0.2">
      <c r="A43">
        <v>42</v>
      </c>
      <c r="B43" s="1">
        <v>45399</v>
      </c>
      <c r="C43" t="s">
        <v>75</v>
      </c>
      <c r="D43" t="s">
        <v>75</v>
      </c>
      <c r="E43">
        <v>1</v>
      </c>
      <c r="F43">
        <v>2</v>
      </c>
      <c r="G43">
        <f t="shared" si="0"/>
        <v>5.2999999999999999E-2</v>
      </c>
      <c r="H43">
        <v>2997</v>
      </c>
      <c r="I43" t="s">
        <v>31</v>
      </c>
      <c r="K43">
        <v>46.370000000000005</v>
      </c>
      <c r="N43">
        <v>0.159</v>
      </c>
      <c r="Q43" s="4"/>
      <c r="R43" s="4"/>
    </row>
    <row r="44" spans="1:18" x14ac:dyDescent="0.2">
      <c r="A44">
        <v>43</v>
      </c>
      <c r="B44" s="1">
        <v>45399</v>
      </c>
      <c r="C44" t="s">
        <v>76</v>
      </c>
      <c r="D44" t="s">
        <v>76</v>
      </c>
      <c r="E44">
        <v>1</v>
      </c>
      <c r="F44">
        <v>2</v>
      </c>
      <c r="G44">
        <f t="shared" si="0"/>
        <v>8.9666666666666672E-2</v>
      </c>
      <c r="H44">
        <v>2997</v>
      </c>
      <c r="I44" t="s">
        <v>31</v>
      </c>
      <c r="K44">
        <v>27.433333333333334</v>
      </c>
      <c r="N44">
        <v>0.26900000000000002</v>
      </c>
      <c r="Q44" s="4"/>
      <c r="R44" s="4"/>
    </row>
    <row r="45" spans="1:18" x14ac:dyDescent="0.2">
      <c r="A45">
        <v>44</v>
      </c>
      <c r="B45" s="1">
        <v>45399</v>
      </c>
      <c r="C45" t="s">
        <v>77</v>
      </c>
      <c r="D45" t="s">
        <v>77</v>
      </c>
      <c r="E45">
        <v>1</v>
      </c>
      <c r="F45">
        <v>2</v>
      </c>
      <c r="G45">
        <f t="shared" si="0"/>
        <v>0.12433333333333334</v>
      </c>
      <c r="H45">
        <v>2997</v>
      </c>
      <c r="I45" t="s">
        <v>31</v>
      </c>
      <c r="K45">
        <v>19.36333333333333</v>
      </c>
      <c r="N45">
        <v>0.373</v>
      </c>
      <c r="Q45" s="4"/>
      <c r="R45" s="4"/>
    </row>
    <row r="46" spans="1:18" x14ac:dyDescent="0.2">
      <c r="A46">
        <v>45</v>
      </c>
      <c r="B46" s="1">
        <v>45399</v>
      </c>
      <c r="C46" t="s">
        <v>78</v>
      </c>
      <c r="D46" t="s">
        <v>78</v>
      </c>
      <c r="E46">
        <v>1</v>
      </c>
      <c r="F46">
        <v>1</v>
      </c>
      <c r="G46">
        <f t="shared" si="0"/>
        <v>1</v>
      </c>
      <c r="H46">
        <v>2997</v>
      </c>
      <c r="I46" t="s">
        <v>31</v>
      </c>
      <c r="K46">
        <v>1</v>
      </c>
      <c r="N46">
        <v>3</v>
      </c>
      <c r="Q46" s="4"/>
      <c r="R46" s="4"/>
    </row>
    <row r="47" spans="1:18" x14ac:dyDescent="0.2">
      <c r="Q47" s="4"/>
      <c r="R47" s="4"/>
    </row>
    <row r="48" spans="1:18" x14ac:dyDescent="0.2">
      <c r="Q48" s="4"/>
      <c r="R48" s="4"/>
    </row>
    <row r="49" spans="17:18" x14ac:dyDescent="0.2">
      <c r="Q49" s="4"/>
      <c r="R49" s="4"/>
    </row>
    <row r="50" spans="17:18" x14ac:dyDescent="0.2">
      <c r="Q50" s="4"/>
      <c r="R50" s="4"/>
    </row>
    <row r="51" spans="17:18" x14ac:dyDescent="0.2">
      <c r="Q51" s="4"/>
      <c r="R51" s="4"/>
    </row>
    <row r="52" spans="17:18" x14ac:dyDescent="0.2">
      <c r="Q52" s="4"/>
      <c r="R52" s="4"/>
    </row>
    <row r="53" spans="17:18" x14ac:dyDescent="0.2">
      <c r="Q53" s="4"/>
      <c r="R53" s="4"/>
    </row>
    <row r="54" spans="17:18" x14ac:dyDescent="0.2">
      <c r="Q54" s="4"/>
      <c r="R54" s="4"/>
    </row>
    <row r="55" spans="17:18" x14ac:dyDescent="0.2">
      <c r="Q55" s="4"/>
      <c r="R55" s="4"/>
    </row>
    <row r="56" spans="17:18" x14ac:dyDescent="0.2">
      <c r="Q56" s="4"/>
      <c r="R56" s="4"/>
    </row>
    <row r="57" spans="17:18" x14ac:dyDescent="0.2">
      <c r="Q57" s="4"/>
      <c r="R57" s="4"/>
    </row>
    <row r="58" spans="17:18" x14ac:dyDescent="0.2">
      <c r="Q58" s="4"/>
      <c r="R58" s="4"/>
    </row>
    <row r="59" spans="17:18" x14ac:dyDescent="0.2">
      <c r="Q59" s="4"/>
      <c r="R59" s="4"/>
    </row>
    <row r="60" spans="17:18" x14ac:dyDescent="0.2">
      <c r="Q60" s="4"/>
      <c r="R60" s="4"/>
    </row>
    <row r="61" spans="17:18" x14ac:dyDescent="0.2">
      <c r="Q61" s="4"/>
      <c r="R61" s="4"/>
    </row>
  </sheetData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78E1-CCA3-4147-B8E1-B6419FC8B75C}">
  <dimension ref="A1:C13"/>
  <sheetViews>
    <sheetView workbookViewId="0">
      <selection activeCell="F22" sqref="F22"/>
    </sheetView>
  </sheetViews>
  <sheetFormatPr baseColWidth="10" defaultColWidth="8.83203125" defaultRowHeight="15" x14ac:dyDescent="0.2"/>
  <cols>
    <col min="1" max="1" width="25.1640625" customWidth="1"/>
    <col min="2" max="2" width="107.5" customWidth="1"/>
  </cols>
  <sheetData>
    <row r="1" spans="1:3" x14ac:dyDescent="0.2">
      <c r="A1" s="3" t="s">
        <v>12</v>
      </c>
      <c r="B1" s="3" t="s">
        <v>13</v>
      </c>
      <c r="C1" s="3" t="s">
        <v>11</v>
      </c>
    </row>
    <row r="2" spans="1:3" x14ac:dyDescent="0.2">
      <c r="A2" s="2" t="s">
        <v>0</v>
      </c>
      <c r="B2" s="2" t="s">
        <v>14</v>
      </c>
      <c r="C2" s="2"/>
    </row>
    <row r="3" spans="1:3" x14ac:dyDescent="0.2">
      <c r="A3" s="2" t="s">
        <v>1</v>
      </c>
      <c r="B3" s="2" t="s">
        <v>15</v>
      </c>
      <c r="C3" s="2"/>
    </row>
    <row r="4" spans="1:3" x14ac:dyDescent="0.2">
      <c r="A4" s="2" t="s">
        <v>2</v>
      </c>
      <c r="B4" s="2" t="s">
        <v>16</v>
      </c>
      <c r="C4" s="2" t="s">
        <v>17</v>
      </c>
    </row>
    <row r="5" spans="1:3" x14ac:dyDescent="0.2">
      <c r="A5" s="2" t="s">
        <v>3</v>
      </c>
      <c r="B5" s="2" t="s">
        <v>18</v>
      </c>
      <c r="C5" s="2"/>
    </row>
    <row r="6" spans="1:3" x14ac:dyDescent="0.2">
      <c r="A6" s="2" t="s">
        <v>4</v>
      </c>
      <c r="B6" s="2" t="s">
        <v>19</v>
      </c>
      <c r="C6" s="2" t="s">
        <v>20</v>
      </c>
    </row>
    <row r="7" spans="1:3" x14ac:dyDescent="0.2">
      <c r="A7" s="2" t="s">
        <v>21</v>
      </c>
      <c r="B7" s="2" t="s">
        <v>22</v>
      </c>
      <c r="C7" s="2"/>
    </row>
    <row r="8" spans="1:3" x14ac:dyDescent="0.2">
      <c r="A8" s="2" t="s">
        <v>6</v>
      </c>
      <c r="B8" s="2" t="s">
        <v>23</v>
      </c>
      <c r="C8" s="2" t="s">
        <v>24</v>
      </c>
    </row>
    <row r="9" spans="1:3" x14ac:dyDescent="0.2">
      <c r="A9" s="2" t="s">
        <v>7</v>
      </c>
      <c r="B9" s="2" t="s">
        <v>25</v>
      </c>
      <c r="C9" s="2" t="s">
        <v>26</v>
      </c>
    </row>
    <row r="10" spans="1:3" x14ac:dyDescent="0.2">
      <c r="A10" s="2" t="s">
        <v>8</v>
      </c>
      <c r="B10" s="2" t="s">
        <v>29</v>
      </c>
      <c r="C10" s="2"/>
    </row>
    <row r="11" spans="1:3" x14ac:dyDescent="0.2">
      <c r="A11" s="2" t="s">
        <v>9</v>
      </c>
      <c r="B11" s="2" t="s">
        <v>30</v>
      </c>
      <c r="C11" s="2"/>
    </row>
    <row r="12" spans="1:3" x14ac:dyDescent="0.2">
      <c r="A12" s="2" t="s">
        <v>10</v>
      </c>
      <c r="B12" s="2" t="s">
        <v>27</v>
      </c>
      <c r="C12" s="2" t="s">
        <v>28</v>
      </c>
    </row>
    <row r="13" spans="1:3" x14ac:dyDescent="0.2">
      <c r="A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wampleka</dc:creator>
  <cp:lastModifiedBy>Kim, Jieun</cp:lastModifiedBy>
  <dcterms:created xsi:type="dcterms:W3CDTF">2023-11-28T19:25:30Z</dcterms:created>
  <dcterms:modified xsi:type="dcterms:W3CDTF">2025-10-31T00:54:02Z</dcterms:modified>
</cp:coreProperties>
</file>