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yer056/GitHub/tempest_ionic_strength/Data/Exp 2 Ionic Strength NaCl Data/ICP/"/>
    </mc:Choice>
  </mc:AlternateContent>
  <xr:revisionPtr revIDLastSave="0" documentId="13_ncr:1_{41E223E5-4E93-A549-B413-E37E68ACDA06}" xr6:coauthVersionLast="47" xr6:coauthVersionMax="47" xr10:uidLastSave="{00000000-0000-0000-0000-000000000000}"/>
  <bookViews>
    <workbookView xWindow="9300" yWindow="-27880" windowWidth="36880" windowHeight="23320" activeTab="5" xr2:uid="{CD2106DC-15C8-495D-8D19-EEA12ED135EC}"/>
  </bookViews>
  <sheets>
    <sheet name="IS = 0% ASW" sheetId="7" r:id="rId1"/>
    <sheet name="IS = 0.1%ASW" sheetId="6" r:id="rId2"/>
    <sheet name="IS = 1% ASW" sheetId="5" r:id="rId3"/>
    <sheet name="IS = 5% ASW" sheetId="4" r:id="rId4"/>
    <sheet name="IS =25% ASW" sheetId="3" r:id="rId5"/>
    <sheet name="IS = 100% ASW" sheetId="2" r:id="rId6"/>
  </sheets>
  <definedNames>
    <definedName name="_xlnm.Print_Area" localSheetId="1">'IS = 0.1%ASW'!$B$6:$AJ$38</definedName>
    <definedName name="_xlnm.Print_Area" localSheetId="0">'IS = 0% ASW'!$B$6:$AJ$38</definedName>
    <definedName name="_xlnm.Print_Area" localSheetId="2">'IS = 1% ASW'!$B$6:$AJ$35</definedName>
    <definedName name="_xlnm.Print_Area" localSheetId="5">'IS = 100% ASW'!$B$6:$AK$37</definedName>
    <definedName name="_xlnm.Print_Area" localSheetId="3">'IS = 5% ASW'!$B$6:$AJ$37</definedName>
    <definedName name="_xlnm.Print_Area" localSheetId="4">'IS =25% ASW'!$B$6:$AJ$38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1" i="2" l="1"/>
  <c r="F31" i="2"/>
  <c r="G31" i="5"/>
  <c r="F31" i="5"/>
  <c r="F27" i="6"/>
  <c r="G31" i="6"/>
  <c r="F31" i="6"/>
  <c r="J11" i="4"/>
  <c r="K11" i="4"/>
  <c r="N11" i="4"/>
  <c r="O11" i="4"/>
  <c r="R11" i="4"/>
  <c r="S11" i="4"/>
  <c r="W11" i="4"/>
  <c r="Z11" i="4"/>
  <c r="AA11" i="4"/>
  <c r="J15" i="4"/>
  <c r="K15" i="4"/>
  <c r="N15" i="4"/>
  <c r="O15" i="4"/>
  <c r="R15" i="4"/>
  <c r="S15" i="4"/>
  <c r="Z15" i="4"/>
  <c r="AA15" i="4"/>
  <c r="AD15" i="4"/>
  <c r="J19" i="4"/>
  <c r="K19" i="4"/>
  <c r="N19" i="4"/>
  <c r="O19" i="4"/>
  <c r="R19" i="4"/>
  <c r="S19" i="4"/>
  <c r="Z19" i="4"/>
  <c r="AA19" i="4"/>
  <c r="AE19" i="4"/>
  <c r="V19" i="4"/>
  <c r="J23" i="4"/>
  <c r="K23" i="4"/>
  <c r="N23" i="4"/>
  <c r="O23" i="4"/>
  <c r="R23" i="4"/>
  <c r="S23" i="4"/>
  <c r="Z23" i="4"/>
  <c r="AA23" i="4"/>
  <c r="AE23" i="4"/>
  <c r="J27" i="4"/>
  <c r="K27" i="4"/>
  <c r="N27" i="4"/>
  <c r="O27" i="4"/>
  <c r="R27" i="4"/>
  <c r="S27" i="4"/>
  <c r="Z27" i="4"/>
  <c r="AA27" i="4"/>
  <c r="J31" i="4"/>
  <c r="K31" i="4"/>
  <c r="N31" i="4"/>
  <c r="O31" i="4"/>
  <c r="R31" i="4"/>
  <c r="S31" i="4"/>
  <c r="V31" i="4"/>
  <c r="Z31" i="4"/>
  <c r="AA31" i="4"/>
  <c r="AD31" i="4"/>
  <c r="AD11" i="5"/>
  <c r="AE11" i="5"/>
  <c r="AH11" i="5"/>
  <c r="AI11" i="5"/>
  <c r="AD15" i="5"/>
  <c r="AE15" i="5"/>
  <c r="AI15" i="5"/>
  <c r="AH15" i="5"/>
  <c r="AD19" i="5"/>
  <c r="AE19" i="5"/>
  <c r="AH19" i="5"/>
  <c r="AD23" i="5"/>
  <c r="AE23" i="5"/>
  <c r="AH23" i="5"/>
  <c r="AD27" i="5"/>
  <c r="AE27" i="5"/>
  <c r="AI27" i="5"/>
  <c r="AH27" i="5"/>
  <c r="AD31" i="5"/>
  <c r="AE31" i="5"/>
  <c r="AH31" i="5"/>
  <c r="AI31" i="5"/>
  <c r="N11" i="7"/>
  <c r="O11" i="7"/>
  <c r="R11" i="7"/>
  <c r="S11" i="7"/>
  <c r="Z11" i="7"/>
  <c r="AA11" i="7"/>
  <c r="N15" i="7"/>
  <c r="O15" i="7"/>
  <c r="R15" i="7"/>
  <c r="S15" i="7"/>
  <c r="Z15" i="7"/>
  <c r="AA15" i="7"/>
  <c r="N19" i="7"/>
  <c r="O19" i="7"/>
  <c r="R19" i="7"/>
  <c r="S19" i="7"/>
  <c r="Z19" i="7"/>
  <c r="AA19" i="7"/>
  <c r="N23" i="7"/>
  <c r="O23" i="7"/>
  <c r="R23" i="7"/>
  <c r="S23" i="7"/>
  <c r="W23" i="7"/>
  <c r="Z23" i="7"/>
  <c r="AA23" i="7"/>
  <c r="N27" i="7"/>
  <c r="O27" i="7"/>
  <c r="R27" i="7"/>
  <c r="S27" i="7"/>
  <c r="Z27" i="7"/>
  <c r="AA27" i="7"/>
  <c r="N31" i="7"/>
  <c r="O31" i="7"/>
  <c r="R31" i="7"/>
  <c r="S31" i="7"/>
  <c r="Z31" i="7"/>
  <c r="AA31" i="7"/>
  <c r="V31" i="7"/>
  <c r="AE31" i="2"/>
  <c r="AA31" i="2"/>
  <c r="Z31" i="2"/>
  <c r="S31" i="2"/>
  <c r="R31" i="2"/>
  <c r="AE27" i="2"/>
  <c r="AA27" i="2"/>
  <c r="Z27" i="2"/>
  <c r="S27" i="2"/>
  <c r="R27" i="2"/>
  <c r="AA23" i="2"/>
  <c r="Z23" i="2"/>
  <c r="S23" i="2"/>
  <c r="R23" i="2"/>
  <c r="AA19" i="2"/>
  <c r="Z19" i="2"/>
  <c r="S19" i="2"/>
  <c r="R19" i="2"/>
  <c r="AA15" i="2"/>
  <c r="Z15" i="2"/>
  <c r="S15" i="2"/>
  <c r="R15" i="2"/>
  <c r="AA11" i="2"/>
  <c r="Z11" i="2"/>
  <c r="W11" i="2"/>
  <c r="S11" i="2"/>
  <c r="R11" i="2"/>
  <c r="AA31" i="3"/>
  <c r="Z31" i="3"/>
  <c r="W31" i="3"/>
  <c r="S31" i="3"/>
  <c r="R31" i="3"/>
  <c r="AA27" i="3"/>
  <c r="Z27" i="3"/>
  <c r="S27" i="3"/>
  <c r="R27" i="3"/>
  <c r="AA23" i="3"/>
  <c r="Z23" i="3"/>
  <c r="S23" i="3"/>
  <c r="R23" i="3"/>
  <c r="AA19" i="3"/>
  <c r="Z19" i="3"/>
  <c r="S19" i="3"/>
  <c r="R19" i="3"/>
  <c r="AA15" i="3"/>
  <c r="Z15" i="3"/>
  <c r="S15" i="3"/>
  <c r="R15" i="3"/>
  <c r="AA11" i="3"/>
  <c r="Z11" i="3"/>
  <c r="S11" i="3"/>
  <c r="R11" i="3"/>
  <c r="AA31" i="5"/>
  <c r="Z31" i="5"/>
  <c r="S31" i="5"/>
  <c r="R31" i="5"/>
  <c r="AA27" i="5"/>
  <c r="Z27" i="5"/>
  <c r="S27" i="5"/>
  <c r="R27" i="5"/>
  <c r="AA23" i="5"/>
  <c r="Z23" i="5"/>
  <c r="S23" i="5"/>
  <c r="R23" i="5"/>
  <c r="AA19" i="5"/>
  <c r="Z19" i="5"/>
  <c r="S19" i="5"/>
  <c r="R19" i="5"/>
  <c r="AA15" i="5"/>
  <c r="Z15" i="5"/>
  <c r="S15" i="5"/>
  <c r="R15" i="5"/>
  <c r="AA11" i="5"/>
  <c r="Z11" i="5"/>
  <c r="S11" i="5"/>
  <c r="R11" i="5"/>
  <c r="AA31" i="6"/>
  <c r="Z31" i="6"/>
  <c r="S31" i="6"/>
  <c r="R31" i="6"/>
  <c r="AA27" i="6"/>
  <c r="Z27" i="6"/>
  <c r="S27" i="6"/>
  <c r="R27" i="6"/>
  <c r="AA23" i="6"/>
  <c r="Z23" i="6"/>
  <c r="S23" i="6"/>
  <c r="R23" i="6"/>
  <c r="AA19" i="6"/>
  <c r="Z19" i="6"/>
  <c r="S19" i="6"/>
  <c r="R19" i="6"/>
  <c r="AA15" i="6"/>
  <c r="Z15" i="6"/>
  <c r="S15" i="6"/>
  <c r="R15" i="6"/>
  <c r="AA11" i="6"/>
  <c r="Z11" i="6"/>
  <c r="S11" i="6"/>
  <c r="R11" i="6"/>
  <c r="AD19" i="2" l="1"/>
  <c r="W31" i="2"/>
  <c r="AE31" i="3"/>
  <c r="W23" i="3"/>
  <c r="AE15" i="4"/>
  <c r="AD19" i="4"/>
  <c r="AE11" i="4"/>
  <c r="AD11" i="4"/>
  <c r="AD27" i="4"/>
  <c r="AD23" i="4"/>
  <c r="AE31" i="4"/>
  <c r="AE27" i="4"/>
  <c r="AH31" i="4"/>
  <c r="AH27" i="4"/>
  <c r="AH11" i="4"/>
  <c r="AH23" i="4"/>
  <c r="AH15" i="4"/>
  <c r="W27" i="4"/>
  <c r="V11" i="4"/>
  <c r="V23" i="4"/>
  <c r="V15" i="4"/>
  <c r="V27" i="4"/>
  <c r="W31" i="4"/>
  <c r="W15" i="4"/>
  <c r="W19" i="4"/>
  <c r="W23" i="4"/>
  <c r="AI19" i="5"/>
  <c r="AI23" i="5"/>
  <c r="W23" i="5"/>
  <c r="AE31" i="6"/>
  <c r="AD31" i="7"/>
  <c r="AD11" i="7"/>
  <c r="AE31" i="7"/>
  <c r="AD19" i="7"/>
  <c r="AD27" i="7"/>
  <c r="AE27" i="7"/>
  <c r="AE15" i="7"/>
  <c r="AD23" i="7"/>
  <c r="AD15" i="7"/>
  <c r="AI19" i="7"/>
  <c r="AE19" i="7"/>
  <c r="AI11" i="7"/>
  <c r="AE23" i="7"/>
  <c r="AH27" i="7"/>
  <c r="AE11" i="7"/>
  <c r="AI23" i="7"/>
  <c r="V15" i="7"/>
  <c r="W31" i="7"/>
  <c r="V23" i="7"/>
  <c r="W27" i="7"/>
  <c r="V19" i="7"/>
  <c r="W11" i="7"/>
  <c r="AH31" i="7"/>
  <c r="V27" i="7"/>
  <c r="W19" i="7"/>
  <c r="V11" i="7"/>
  <c r="W15" i="7"/>
  <c r="AD31" i="2"/>
  <c r="W27" i="3"/>
  <c r="AD31" i="3"/>
  <c r="AE23" i="3"/>
  <c r="AI31" i="4"/>
  <c r="W27" i="5"/>
  <c r="AH27" i="2"/>
  <c r="AE23" i="2"/>
  <c r="AD27" i="2"/>
  <c r="AH23" i="2"/>
  <c r="AE19" i="2"/>
  <c r="AD15" i="2"/>
  <c r="AE15" i="2"/>
  <c r="AD11" i="2"/>
  <c r="V27" i="2"/>
  <c r="W27" i="2"/>
  <c r="V23" i="2"/>
  <c r="W23" i="2"/>
  <c r="W15" i="2"/>
  <c r="V27" i="3"/>
  <c r="AE15" i="3"/>
  <c r="AE19" i="3"/>
  <c r="AE27" i="3"/>
  <c r="AD27" i="3"/>
  <c r="AD11" i="3"/>
  <c r="AE11" i="3"/>
  <c r="V31" i="3"/>
  <c r="V23" i="3"/>
  <c r="W19" i="3"/>
  <c r="W15" i="3"/>
  <c r="AI27" i="4"/>
  <c r="V27" i="5"/>
  <c r="W31" i="5"/>
  <c r="V23" i="5"/>
  <c r="W15" i="5"/>
  <c r="W11" i="5"/>
  <c r="V15" i="6"/>
  <c r="AE27" i="6"/>
  <c r="V27" i="6"/>
  <c r="AD19" i="6"/>
  <c r="AE19" i="6"/>
  <c r="AE15" i="6"/>
  <c r="V31" i="6"/>
  <c r="W23" i="6"/>
  <c r="W19" i="6"/>
  <c r="AE11" i="2"/>
  <c r="V19" i="2"/>
  <c r="AD23" i="2"/>
  <c r="W19" i="2"/>
  <c r="V31" i="2"/>
  <c r="V11" i="2"/>
  <c r="V15" i="2"/>
  <c r="V19" i="3"/>
  <c r="AD23" i="3"/>
  <c r="V11" i="3"/>
  <c r="AD15" i="3"/>
  <c r="W11" i="3"/>
  <c r="V15" i="3"/>
  <c r="AD19" i="3"/>
  <c r="V19" i="5"/>
  <c r="W19" i="5"/>
  <c r="V31" i="5"/>
  <c r="V11" i="5"/>
  <c r="V15" i="5"/>
  <c r="AD31" i="6"/>
  <c r="AD15" i="6"/>
  <c r="W31" i="6"/>
  <c r="W27" i="6"/>
  <c r="W15" i="6"/>
  <c r="W11" i="6"/>
  <c r="AD11" i="6"/>
  <c r="AE11" i="6"/>
  <c r="V19" i="6"/>
  <c r="AD23" i="6"/>
  <c r="AE23" i="6"/>
  <c r="V11" i="6"/>
  <c r="V23" i="6"/>
  <c r="AD27" i="6"/>
  <c r="AI27" i="2" l="1"/>
  <c r="AI23" i="2"/>
  <c r="AI27" i="3"/>
  <c r="AH11" i="3"/>
  <c r="AI23" i="3"/>
  <c r="AH19" i="4"/>
  <c r="AH27" i="6"/>
  <c r="AH19" i="7"/>
  <c r="AI27" i="7"/>
  <c r="AH23" i="7"/>
  <c r="AI31" i="7"/>
  <c r="AH11" i="7"/>
  <c r="AH15" i="7"/>
  <c r="AI15" i="7"/>
  <c r="AH23" i="3"/>
  <c r="AI19" i="2"/>
  <c r="AH19" i="2"/>
  <c r="AH27" i="3"/>
  <c r="AI11" i="3"/>
  <c r="AI27" i="6"/>
  <c r="AH23" i="6"/>
  <c r="AI31" i="2"/>
  <c r="AH31" i="2"/>
  <c r="AI11" i="2"/>
  <c r="AH11" i="2"/>
  <c r="AI15" i="2"/>
  <c r="AH15" i="2"/>
  <c r="AI19" i="3"/>
  <c r="AH19" i="3"/>
  <c r="AH31" i="3"/>
  <c r="AI31" i="3"/>
  <c r="AI15" i="3"/>
  <c r="AH15" i="3"/>
  <c r="AI19" i="4"/>
  <c r="AI11" i="4"/>
  <c r="AI23" i="4"/>
  <c r="AI15" i="4"/>
  <c r="AI23" i="6"/>
  <c r="AI31" i="6"/>
  <c r="AH31" i="6"/>
  <c r="AH11" i="6"/>
  <c r="AI11" i="6"/>
  <c r="AH15" i="6"/>
  <c r="AI15" i="6"/>
  <c r="AI19" i="6"/>
  <c r="AH19" i="6"/>
  <c r="O31" i="6" l="1"/>
  <c r="N31" i="6"/>
  <c r="O27" i="6"/>
  <c r="N27" i="6"/>
  <c r="O23" i="6"/>
  <c r="N23" i="6"/>
  <c r="O19" i="6"/>
  <c r="N19" i="6"/>
  <c r="O15" i="6"/>
  <c r="N15" i="6"/>
  <c r="O11" i="6"/>
  <c r="N11" i="6"/>
  <c r="O31" i="5"/>
  <c r="N31" i="5"/>
  <c r="O27" i="5"/>
  <c r="N27" i="5"/>
  <c r="O23" i="5"/>
  <c r="N23" i="5"/>
  <c r="O19" i="5"/>
  <c r="N19" i="5"/>
  <c r="O15" i="5"/>
  <c r="N15" i="5"/>
  <c r="O11" i="5"/>
  <c r="N11" i="5"/>
  <c r="O31" i="3"/>
  <c r="N31" i="3"/>
  <c r="O27" i="3"/>
  <c r="N27" i="3"/>
  <c r="O23" i="3"/>
  <c r="N23" i="3"/>
  <c r="O19" i="3"/>
  <c r="N19" i="3"/>
  <c r="O15" i="3"/>
  <c r="N15" i="3"/>
  <c r="O11" i="3"/>
  <c r="N11" i="3"/>
  <c r="O31" i="2"/>
  <c r="N31" i="2"/>
  <c r="O27" i="2"/>
  <c r="N27" i="2"/>
  <c r="O23" i="2"/>
  <c r="N23" i="2"/>
  <c r="O19" i="2"/>
  <c r="N19" i="2"/>
  <c r="O15" i="2"/>
  <c r="N15" i="2"/>
  <c r="N11" i="2"/>
  <c r="O11" i="2"/>
  <c r="K11" i="3"/>
  <c r="K31" i="7"/>
  <c r="J31" i="7"/>
  <c r="K27" i="7"/>
  <c r="J27" i="7"/>
  <c r="K23" i="7"/>
  <c r="J23" i="7"/>
  <c r="K19" i="7"/>
  <c r="J19" i="7"/>
  <c r="K15" i="7"/>
  <c r="J11" i="7"/>
  <c r="K31" i="6"/>
  <c r="J31" i="6"/>
  <c r="K27" i="6"/>
  <c r="J27" i="6"/>
  <c r="K23" i="6"/>
  <c r="J23" i="6"/>
  <c r="K19" i="6"/>
  <c r="J19" i="6"/>
  <c r="K15" i="6"/>
  <c r="J11" i="6"/>
  <c r="K31" i="5"/>
  <c r="J31" i="5"/>
  <c r="K27" i="5"/>
  <c r="J27" i="5"/>
  <c r="K23" i="5"/>
  <c r="J23" i="5"/>
  <c r="K19" i="5"/>
  <c r="J19" i="5"/>
  <c r="K15" i="5"/>
  <c r="J15" i="5"/>
  <c r="J11" i="5"/>
  <c r="K11" i="5"/>
  <c r="K31" i="3"/>
  <c r="J31" i="3"/>
  <c r="K27" i="3"/>
  <c r="J27" i="3"/>
  <c r="K23" i="3"/>
  <c r="J23" i="3"/>
  <c r="K19" i="3"/>
  <c r="J19" i="3"/>
  <c r="K15" i="3"/>
  <c r="K31" i="2"/>
  <c r="J31" i="2"/>
  <c r="K27" i="2"/>
  <c r="J27" i="2"/>
  <c r="K23" i="2"/>
  <c r="J23" i="2"/>
  <c r="K19" i="2"/>
  <c r="J19" i="2"/>
  <c r="K11" i="2"/>
  <c r="G31" i="3"/>
  <c r="F31" i="3"/>
  <c r="G31" i="4"/>
  <c r="F31" i="4"/>
  <c r="G31" i="7"/>
  <c r="F31" i="7"/>
  <c r="G27" i="7"/>
  <c r="F27" i="7"/>
  <c r="G23" i="7"/>
  <c r="F23" i="7"/>
  <c r="G19" i="7"/>
  <c r="F19" i="7"/>
  <c r="G15" i="7"/>
  <c r="F15" i="7"/>
  <c r="G11" i="7"/>
  <c r="F11" i="7"/>
  <c r="G27" i="6"/>
  <c r="G23" i="6"/>
  <c r="F23" i="6"/>
  <c r="G19" i="6"/>
  <c r="F19" i="6"/>
  <c r="G15" i="6"/>
  <c r="F15" i="6"/>
  <c r="G11" i="6"/>
  <c r="F11" i="6"/>
  <c r="G27" i="5"/>
  <c r="F27" i="5"/>
  <c r="G23" i="5"/>
  <c r="F23" i="5"/>
  <c r="G19" i="5"/>
  <c r="F19" i="5"/>
  <c r="G15" i="5"/>
  <c r="F15" i="5"/>
  <c r="G11" i="5"/>
  <c r="F11" i="5"/>
  <c r="G27" i="4"/>
  <c r="F27" i="4"/>
  <c r="G23" i="4"/>
  <c r="F23" i="4"/>
  <c r="G19" i="4"/>
  <c r="F19" i="4"/>
  <c r="G15" i="4"/>
  <c r="F15" i="4"/>
  <c r="G11" i="4"/>
  <c r="F11" i="4"/>
  <c r="G27" i="3"/>
  <c r="F27" i="3"/>
  <c r="G23" i="3"/>
  <c r="F23" i="3"/>
  <c r="G19" i="3"/>
  <c r="F19" i="3"/>
  <c r="G15" i="3"/>
  <c r="F15" i="3"/>
  <c r="G11" i="3"/>
  <c r="F11" i="3"/>
  <c r="G27" i="2"/>
  <c r="F27" i="2"/>
  <c r="G23" i="2"/>
  <c r="F23" i="2"/>
  <c r="G19" i="2"/>
  <c r="F19" i="2"/>
  <c r="G15" i="2"/>
  <c r="F15" i="2"/>
  <c r="G11" i="2"/>
  <c r="F11" i="2"/>
  <c r="J15" i="2" l="1"/>
  <c r="K15" i="2"/>
  <c r="J11" i="2"/>
  <c r="J11" i="3"/>
  <c r="K11" i="7"/>
  <c r="J15" i="7"/>
  <c r="K11" i="6"/>
  <c r="J15" i="6"/>
  <c r="J15" i="3"/>
</calcChain>
</file>

<file path=xl/sharedStrings.xml><?xml version="1.0" encoding="utf-8"?>
<sst xmlns="http://schemas.openxmlformats.org/spreadsheetml/2006/main" count="523" uniqueCount="23">
  <si>
    <t>A</t>
  </si>
  <si>
    <t>B</t>
  </si>
  <si>
    <t>C</t>
  </si>
  <si>
    <t>average</t>
  </si>
  <si>
    <t>stdev</t>
  </si>
  <si>
    <t xml:space="preserve"> </t>
  </si>
  <si>
    <t>100% ASW (0.72 M NaCl)</t>
  </si>
  <si>
    <t>25% ASW (0.18 M NaCl)</t>
  </si>
  <si>
    <t>5% ASW (36 mM NaCl)</t>
  </si>
  <si>
    <t>1% ASW (7.2 mM NaCl)</t>
  </si>
  <si>
    <t>0.1% ASW (0.72 mM NaCl)</t>
  </si>
  <si>
    <t>0% ASW (0 mM NaCl)</t>
  </si>
  <si>
    <t>ppm</t>
  </si>
  <si>
    <t>Below 0.1 ppm sample DL</t>
  </si>
  <si>
    <t>Below 0.4 ppm sample DL</t>
  </si>
  <si>
    <t xml:space="preserve">Na </t>
  </si>
  <si>
    <t xml:space="preserve">K </t>
  </si>
  <si>
    <t xml:space="preserve">Ca </t>
  </si>
  <si>
    <t xml:space="preserve">Mg </t>
  </si>
  <si>
    <t xml:space="preserve">Al </t>
  </si>
  <si>
    <t xml:space="preserve">S </t>
  </si>
  <si>
    <t xml:space="preserve">Fe </t>
  </si>
  <si>
    <t xml:space="preserve">Mn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</si>
</sst>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5" fillId="0" borderId="0" xfId="0" applyFont="1"/>
    <xf numFmtId="164" fontId="4" fillId="0" borderId="0" xfId="0" applyNumberFormat="1" applyFont="1" applyAlignment="1">
      <alignment horizontal="center"/>
    </xf>
    <xf numFmtId="166" fontId="0" fillId="0" borderId="0" xfId="0" applyNumberFormat="1"/>
    <xf numFmtId="0" fontId="4" fillId="0" borderId="0" xfId="0" applyFont="1" applyAlignment="1">
      <alignment horizontal="center"/>
    </xf>
    <xf numFmtId="164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2" fontId="0" fillId="0" borderId="0" xfId="0" applyNumberFormat="1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3" fillId="0" borderId="0" xfId="0" applyFont="1"/>
    <xf numFmtId="166" fontId="0" fillId="0" borderId="0" xfId="0" applyNumberFormat="1" applyAlignment="1">
      <alignment horizontal="center"/>
    </xf>
    <xf numFmtId="0" fontId="2" fillId="0" borderId="0" xfId="0" applyFont="1"/>
    <xf numFmtId="166" fontId="3" fillId="0" borderId="0" xfId="0" applyNumberFormat="1" applyFont="1"/>
    <xf numFmtId="165" fontId="3" fillId="0" borderId="0" xfId="0" applyNumberFormat="1" applyFont="1" applyAlignment="1">
      <alignment horizontal="center"/>
    </xf>
    <xf numFmtId="166" fontId="4" fillId="0" borderId="0" xfId="0" applyNumberFormat="1" applyFont="1"/>
    <xf numFmtId="0" fontId="4" fillId="0" borderId="0" xfId="0" applyFont="1"/>
    <xf numFmtId="2" fontId="3" fillId="0" borderId="0" xfId="0" applyNumberFormat="1" applyFont="1" applyAlignment="1">
      <alignment horizontal="center"/>
    </xf>
    <xf numFmtId="166" fontId="3" fillId="0" borderId="0" xfId="0" applyNumberFormat="1" applyFont="1" applyAlignment="1">
      <alignment horizontal="center"/>
    </xf>
    <xf numFmtId="166" fontId="4" fillId="0" borderId="0" xfId="0" applyNumberFormat="1" applyFont="1" applyAlignment="1">
      <alignment horizontal="center"/>
    </xf>
    <xf numFmtId="166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E9C16-492D-4657-B316-637FFFD1ED3A}">
  <sheetPr>
    <pageSetUpPr fitToPage="1"/>
  </sheetPr>
  <dimension ref="A6:AJ50"/>
  <sheetViews>
    <sheetView topLeftCell="G1" workbookViewId="0">
      <selection activeCell="Z11" sqref="Z11:AA11"/>
    </sheetView>
  </sheetViews>
  <sheetFormatPr baseColWidth="10" defaultColWidth="8.83203125" defaultRowHeight="16" x14ac:dyDescent="0.2"/>
  <cols>
    <col min="1" max="1" width="8.83203125" style="1"/>
    <col min="2" max="2" width="7.5" customWidth="1"/>
    <col min="3" max="4" width="3.5" customWidth="1"/>
    <col min="5" max="5" width="10.6640625" style="3" customWidth="1"/>
    <col min="6" max="6" width="11.1640625" style="3" customWidth="1"/>
    <col min="7" max="7" width="8.33203125" style="3" customWidth="1"/>
    <col min="8" max="8" width="2.5" style="5" customWidth="1"/>
    <col min="9" max="9" width="12.6640625" style="5" customWidth="1"/>
    <col min="10" max="11" width="7.5" style="5" customWidth="1"/>
    <col min="12" max="12" width="2.5" style="5" customWidth="1"/>
    <col min="13" max="13" width="9.5" style="5" customWidth="1"/>
    <col min="14" max="15" width="8.5" style="5" customWidth="1"/>
    <col min="16" max="16" width="2" customWidth="1"/>
    <col min="20" max="20" width="2.33203125" customWidth="1"/>
    <col min="22" max="23" width="9.1640625" style="8"/>
    <col min="24" max="24" width="2" customWidth="1"/>
    <col min="28" max="28" width="1.5" customWidth="1"/>
    <col min="30" max="31" width="9.1640625" style="8"/>
    <col min="32" max="32" width="1.5" customWidth="1"/>
    <col min="34" max="35" width="9.1640625" style="4"/>
    <col min="36" max="36" width="1.83203125" style="5" customWidth="1"/>
  </cols>
  <sheetData>
    <row r="6" spans="1:36" x14ac:dyDescent="0.2">
      <c r="B6" s="2" t="s">
        <v>11</v>
      </c>
    </row>
    <row r="7" spans="1:36" x14ac:dyDescent="0.2">
      <c r="E7" s="6" t="s">
        <v>5</v>
      </c>
      <c r="I7" s="7" t="s">
        <v>5</v>
      </c>
      <c r="J7" s="7"/>
      <c r="K7" s="7"/>
      <c r="L7" s="7"/>
      <c r="M7" s="7" t="s">
        <v>5</v>
      </c>
    </row>
    <row r="8" spans="1:36" x14ac:dyDescent="0.2">
      <c r="E8" t="s">
        <v>15</v>
      </c>
      <c r="I8" t="s">
        <v>16</v>
      </c>
      <c r="J8" s="7"/>
      <c r="K8" s="7"/>
      <c r="M8" t="s">
        <v>17</v>
      </c>
      <c r="Q8" t="s">
        <v>18</v>
      </c>
      <c r="R8" s="9"/>
      <c r="S8" s="9"/>
      <c r="U8" t="s">
        <v>19</v>
      </c>
      <c r="V8" s="10"/>
      <c r="W8" s="10"/>
      <c r="Y8" t="s">
        <v>20</v>
      </c>
      <c r="Z8" s="9"/>
      <c r="AA8" s="9"/>
      <c r="AC8" s="11" t="s">
        <v>21</v>
      </c>
      <c r="AD8" s="10"/>
      <c r="AE8" s="10"/>
      <c r="AG8" t="s">
        <v>22</v>
      </c>
      <c r="AH8" s="12"/>
      <c r="AI8" s="12"/>
    </row>
    <row r="9" spans="1:36" s="13" customFormat="1" ht="17" customHeight="1" x14ac:dyDescent="0.25">
      <c r="A9" s="1"/>
      <c r="B9"/>
      <c r="C9"/>
      <c r="D9"/>
      <c r="E9" t="s">
        <v>12</v>
      </c>
      <c r="F9" s="6" t="s">
        <v>3</v>
      </c>
      <c r="G9" s="6" t="s">
        <v>4</v>
      </c>
      <c r="H9" s="5" t="s">
        <v>5</v>
      </c>
      <c r="I9" t="s">
        <v>12</v>
      </c>
      <c r="J9" s="7" t="s">
        <v>3</v>
      </c>
      <c r="K9" s="7" t="s">
        <v>4</v>
      </c>
      <c r="L9" s="5" t="s">
        <v>5</v>
      </c>
      <c r="M9" t="s">
        <v>12</v>
      </c>
      <c r="N9" s="7" t="s">
        <v>3</v>
      </c>
      <c r="O9" s="7" t="s">
        <v>4</v>
      </c>
      <c r="P9"/>
      <c r="Q9" t="s">
        <v>12</v>
      </c>
      <c r="R9" s="9" t="s">
        <v>3</v>
      </c>
      <c r="S9" s="9" t="s">
        <v>4</v>
      </c>
      <c r="T9"/>
      <c r="U9" t="s">
        <v>12</v>
      </c>
      <c r="V9" s="10" t="s">
        <v>3</v>
      </c>
      <c r="W9" s="10" t="s">
        <v>4</v>
      </c>
      <c r="Y9" t="s">
        <v>12</v>
      </c>
      <c r="Z9" s="9" t="s">
        <v>3</v>
      </c>
      <c r="AA9" s="9" t="s">
        <v>4</v>
      </c>
      <c r="AC9" s="11" t="s">
        <v>12</v>
      </c>
      <c r="AD9" s="10" t="s">
        <v>3</v>
      </c>
      <c r="AE9" s="10" t="s">
        <v>4</v>
      </c>
      <c r="AG9" t="s">
        <v>12</v>
      </c>
      <c r="AH9" s="12" t="s">
        <v>3</v>
      </c>
      <c r="AI9" s="12" t="s">
        <v>4</v>
      </c>
      <c r="AJ9" s="7"/>
    </row>
    <row r="10" spans="1:36" s="13" customFormat="1" ht="17" customHeight="1" x14ac:dyDescent="0.25">
      <c r="A10" s="1"/>
      <c r="B10"/>
      <c r="C10"/>
      <c r="D10"/>
      <c r="E10" s="6"/>
      <c r="F10" s="6"/>
      <c r="G10" s="6"/>
      <c r="H10" s="5"/>
      <c r="I10"/>
      <c r="J10" s="7"/>
      <c r="K10" s="7"/>
      <c r="L10" s="5"/>
      <c r="M10"/>
      <c r="N10" s="7"/>
      <c r="O10" s="7"/>
      <c r="P10"/>
      <c r="Q10"/>
      <c r="R10"/>
      <c r="S10"/>
      <c r="T10"/>
      <c r="U10"/>
      <c r="V10" s="8"/>
      <c r="W10" s="8"/>
      <c r="Y10"/>
      <c r="Z10"/>
      <c r="AA10"/>
      <c r="AC10" s="11"/>
      <c r="AD10" s="8"/>
      <c r="AE10" s="8"/>
      <c r="AG10"/>
      <c r="AH10" s="4"/>
      <c r="AI10" s="4"/>
      <c r="AJ10" s="7"/>
    </row>
    <row r="11" spans="1:36" s="13" customFormat="1" ht="17" customHeight="1" x14ac:dyDescent="0.25">
      <c r="A11" s="1"/>
      <c r="B11">
        <v>0</v>
      </c>
      <c r="C11" t="s">
        <v>0</v>
      </c>
      <c r="D11">
        <v>1</v>
      </c>
      <c r="E11" s="19">
        <v>2.0576500650020173</v>
      </c>
      <c r="F11" s="19">
        <f>AVERAGE(E11:E13)</f>
        <v>1.7410080542729487</v>
      </c>
      <c r="G11" s="19">
        <f>STDEV(E11:E13)</f>
        <v>0.2750111925479673</v>
      </c>
      <c r="H11" s="20"/>
      <c r="I11" s="14">
        <v>6.4535340690518952</v>
      </c>
      <c r="J11" s="19">
        <f>AVERAGE(I11:I13)</f>
        <v>6.3803456215799423</v>
      </c>
      <c r="K11" s="19">
        <f>STDEV(I11:I13)</f>
        <v>7.4882489203885599E-2</v>
      </c>
      <c r="L11" s="20"/>
      <c r="M11" s="14">
        <v>0.13789593582628507</v>
      </c>
      <c r="N11" s="19">
        <f>AVERAGE(M11:M13)</f>
        <v>0.13254004798487753</v>
      </c>
      <c r="O11" s="19">
        <f>STDEV(M11:M13)</f>
        <v>1.580626522456419E-2</v>
      </c>
      <c r="P11" s="4"/>
      <c r="Q11" s="14">
        <v>1.3636105714859896</v>
      </c>
      <c r="R11" s="12">
        <f>AVERAGE(Q11:Q13)</f>
        <v>1.5539049375370242</v>
      </c>
      <c r="S11" s="12">
        <f>STDEV(Q11:Q13)</f>
        <v>0.16500886223483402</v>
      </c>
      <c r="T11" s="4"/>
      <c r="U11" s="14">
        <v>9.538431440194902</v>
      </c>
      <c r="V11" s="12">
        <f>AVERAGE(U11:U13)</f>
        <v>10.719424926861045</v>
      </c>
      <c r="W11" s="12">
        <f>STDEV(U11:U13)</f>
        <v>1.0315260822691816</v>
      </c>
      <c r="X11" s="21"/>
      <c r="Y11" s="14">
        <v>0.51485148514851464</v>
      </c>
      <c r="Z11" s="12">
        <f>AVERAGE(Y11:Y13)</f>
        <v>0.43894389438943887</v>
      </c>
      <c r="AA11" s="12">
        <f>STDEV(Y11:Y13)</f>
        <v>7.9413923534758346E-2</v>
      </c>
      <c r="AB11" s="21"/>
      <c r="AC11" s="14">
        <v>12.673974778203906</v>
      </c>
      <c r="AD11" s="12">
        <f>AVERAGE(AC11:AC13)</f>
        <v>14.895420658939896</v>
      </c>
      <c r="AE11" s="12">
        <f>STDEV(AC11:AC13)</f>
        <v>1.9347631105544092</v>
      </c>
      <c r="AF11" s="21"/>
      <c r="AG11" s="14">
        <v>4.8619230472482546E-2</v>
      </c>
      <c r="AH11" s="12">
        <f>AVERAGE(AG11:AG13)</f>
        <v>5.0953649904348162E-2</v>
      </c>
      <c r="AI11" s="12">
        <f>STDEV(AG11:AG13)</f>
        <v>2.7697554463675242E-3</v>
      </c>
      <c r="AJ11" s="15"/>
    </row>
    <row r="12" spans="1:36" s="13" customFormat="1" ht="17" customHeight="1" x14ac:dyDescent="0.25">
      <c r="A12" s="1"/>
      <c r="B12"/>
      <c r="C12" t="s">
        <v>1</v>
      </c>
      <c r="D12">
        <v>1</v>
      </c>
      <c r="E12" s="19">
        <v>1.561841574393688</v>
      </c>
      <c r="F12" s="19"/>
      <c r="G12" s="19"/>
      <c r="H12" s="20"/>
      <c r="I12" s="14">
        <v>6.3836258954189065</v>
      </c>
      <c r="J12" s="19"/>
      <c r="K12" s="19"/>
      <c r="L12" s="20"/>
      <c r="M12" s="14">
        <v>0.11475171461115288</v>
      </c>
      <c r="N12" s="19"/>
      <c r="O12" s="19"/>
      <c r="P12" s="4"/>
      <c r="Q12" s="14">
        <v>1.6573566556464931</v>
      </c>
      <c r="R12" s="12"/>
      <c r="S12" s="12"/>
      <c r="T12" s="4"/>
      <c r="U12" s="14">
        <v>11.444036720582641</v>
      </c>
      <c r="V12" s="12"/>
      <c r="W12" s="12"/>
      <c r="X12" s="21"/>
      <c r="Y12" s="14">
        <v>0.35643564356435609</v>
      </c>
      <c r="Z12" s="12"/>
      <c r="AA12" s="12"/>
      <c r="AB12" s="21"/>
      <c r="AC12" s="14">
        <v>16.21155037422799</v>
      </c>
      <c r="AD12" s="12"/>
      <c r="AE12" s="12"/>
      <c r="AF12" s="21"/>
      <c r="AG12" s="14">
        <v>5.4014113345955031E-2</v>
      </c>
      <c r="AH12" s="12"/>
      <c r="AI12" s="12"/>
      <c r="AJ12" s="7"/>
    </row>
    <row r="13" spans="1:36" s="13" customFormat="1" ht="17" customHeight="1" x14ac:dyDescent="0.25">
      <c r="A13" s="1"/>
      <c r="B13"/>
      <c r="C13" t="s">
        <v>2</v>
      </c>
      <c r="D13">
        <v>1</v>
      </c>
      <c r="E13" s="19">
        <v>1.6035325234231408</v>
      </c>
      <c r="F13" s="19"/>
      <c r="G13" s="19"/>
      <c r="H13" s="20"/>
      <c r="I13" s="14">
        <v>6.3038769002690254</v>
      </c>
      <c r="J13" s="19"/>
      <c r="K13" s="19"/>
      <c r="L13" s="20"/>
      <c r="M13" s="14">
        <v>0.14497249351719463</v>
      </c>
      <c r="N13" s="19"/>
      <c r="O13" s="19"/>
      <c r="P13" s="4"/>
      <c r="Q13" s="14">
        <v>1.6407475854785898</v>
      </c>
      <c r="R13" s="12"/>
      <c r="S13" s="12"/>
      <c r="T13" s="4"/>
      <c r="U13" s="14">
        <v>11.175806619805591</v>
      </c>
      <c r="V13" s="12"/>
      <c r="W13" s="12"/>
      <c r="X13" s="21"/>
      <c r="Y13" s="14">
        <v>0.44554455445544583</v>
      </c>
      <c r="Z13" s="12"/>
      <c r="AA13" s="12"/>
      <c r="AB13" s="21"/>
      <c r="AC13" s="14">
        <v>15.800736824387789</v>
      </c>
      <c r="AD13" s="12"/>
      <c r="AE13" s="12"/>
      <c r="AF13" s="21"/>
      <c r="AG13" s="14">
        <v>5.0227605894606897E-2</v>
      </c>
      <c r="AH13" s="12"/>
      <c r="AI13" s="12"/>
      <c r="AJ13" s="7"/>
    </row>
    <row r="14" spans="1:36" s="13" customFormat="1" ht="17" customHeight="1" x14ac:dyDescent="0.25">
      <c r="A14" s="1"/>
      <c r="B14"/>
      <c r="C14"/>
      <c r="D14"/>
      <c r="E14" s="19"/>
      <c r="F14" s="19"/>
      <c r="G14" s="19"/>
      <c r="H14" s="20"/>
      <c r="I14" s="4"/>
      <c r="J14" s="19"/>
      <c r="K14" s="19"/>
      <c r="L14" s="20"/>
      <c r="M14" s="4"/>
      <c r="N14" s="19"/>
      <c r="O14" s="19"/>
      <c r="P14" s="4"/>
      <c r="Q14" s="4"/>
      <c r="R14" s="12"/>
      <c r="S14" s="12"/>
      <c r="T14" s="4"/>
      <c r="U14" s="4"/>
      <c r="V14" s="12"/>
      <c r="W14" s="12"/>
      <c r="X14" s="21"/>
      <c r="Y14" s="4"/>
      <c r="Z14" s="12"/>
      <c r="AA14" s="12"/>
      <c r="AB14" s="21"/>
      <c r="AC14" s="14"/>
      <c r="AD14" s="12"/>
      <c r="AE14" s="12"/>
      <c r="AF14" s="21"/>
      <c r="AG14" s="4"/>
      <c r="AH14" s="12"/>
      <c r="AI14" s="12"/>
      <c r="AJ14" s="7"/>
    </row>
    <row r="15" spans="1:36" s="13" customFormat="1" ht="17" customHeight="1" x14ac:dyDescent="0.25">
      <c r="A15" s="1"/>
      <c r="B15">
        <v>0</v>
      </c>
      <c r="C15" t="s">
        <v>0</v>
      </c>
      <c r="D15">
        <v>2</v>
      </c>
      <c r="E15" s="19">
        <v>1.4385618864033711</v>
      </c>
      <c r="F15" s="19">
        <f>AVERAGE(E15:E17)</f>
        <v>1.3010863555535632</v>
      </c>
      <c r="G15" s="19">
        <f>STDEV(E15:E17)</f>
        <v>0.12473604237431216</v>
      </c>
      <c r="H15" s="20"/>
      <c r="I15" s="14">
        <v>7.3445757263996017</v>
      </c>
      <c r="J15" s="19">
        <f>AVERAGE(I15:I17)</f>
        <v>5.8792092410000159</v>
      </c>
      <c r="K15" s="19">
        <f>STDEV(I15:I17)</f>
        <v>1.2705403658941923</v>
      </c>
      <c r="L15" s="20"/>
      <c r="M15" s="16">
        <v>0</v>
      </c>
      <c r="N15" s="19">
        <f>AVERAGE(M15:M17)</f>
        <v>0</v>
      </c>
      <c r="O15" s="19">
        <f>STDEV(M15:M17)</f>
        <v>0</v>
      </c>
      <c r="P15" s="4"/>
      <c r="Q15" s="14">
        <v>1.4460136261363323</v>
      </c>
      <c r="R15" s="12">
        <f>AVERAGE(Q15:Q17)</f>
        <v>1.5548401418042876</v>
      </c>
      <c r="S15" s="12">
        <f>STDEV(Q15:Q17)</f>
        <v>9.5082921642807725E-2</v>
      </c>
      <c r="T15" s="4"/>
      <c r="U15" s="14">
        <v>10.277002763775151</v>
      </c>
      <c r="V15" s="12">
        <f>AVERAGE(U15:U17)</f>
        <v>10.998831281837141</v>
      </c>
      <c r="W15" s="12">
        <f>STDEV(U15:U17)</f>
        <v>0.62727220028533759</v>
      </c>
      <c r="X15" s="21"/>
      <c r="Y15" s="16">
        <v>0</v>
      </c>
      <c r="Z15" s="12">
        <f>AVERAGE(Y15:Y17)</f>
        <v>0</v>
      </c>
      <c r="AA15" s="12">
        <f>STDEV(Y15:Y17)</f>
        <v>0</v>
      </c>
      <c r="AB15" s="21"/>
      <c r="AC15" s="14">
        <v>14.318242045573196</v>
      </c>
      <c r="AD15" s="12">
        <f>AVERAGE(AC15:AC17)</f>
        <v>15.493410583680868</v>
      </c>
      <c r="AE15" s="12">
        <f>STDEV(AC15:AC17)</f>
        <v>1.0178693201582911</v>
      </c>
      <c r="AF15" s="21"/>
      <c r="AG15" s="14">
        <v>4.4346055919237001E-2</v>
      </c>
      <c r="AH15" s="12">
        <f>AVERAGE(AG15:AG17)</f>
        <v>4.6856545969268748E-2</v>
      </c>
      <c r="AI15" s="12">
        <f>STDEV(AG15:AG17)</f>
        <v>2.1989584683028991E-3</v>
      </c>
      <c r="AJ15" s="15"/>
    </row>
    <row r="16" spans="1:36" s="13" customFormat="1" ht="17" customHeight="1" x14ac:dyDescent="0.25">
      <c r="A16" s="1"/>
      <c r="B16"/>
      <c r="C16" t="s">
        <v>1</v>
      </c>
      <c r="D16">
        <v>2</v>
      </c>
      <c r="E16" s="19">
        <v>1.195140538844309</v>
      </c>
      <c r="F16" s="19"/>
      <c r="G16" s="19"/>
      <c r="H16" s="20"/>
      <c r="I16" s="14">
        <v>5.084893060942802</v>
      </c>
      <c r="J16" s="19"/>
      <c r="K16" s="19"/>
      <c r="L16" s="20"/>
      <c r="M16" s="16">
        <v>0</v>
      </c>
      <c r="N16" s="19"/>
      <c r="O16" s="19"/>
      <c r="P16" s="4"/>
      <c r="Q16" s="14">
        <v>1.6218372823384311</v>
      </c>
      <c r="R16" s="12"/>
      <c r="S16" s="12"/>
      <c r="T16" s="4"/>
      <c r="U16" s="14">
        <v>11.41164068645163</v>
      </c>
      <c r="V16" s="12"/>
      <c r="W16" s="12"/>
      <c r="X16" s="21"/>
      <c r="Y16" s="16">
        <v>0</v>
      </c>
      <c r="Z16" s="12"/>
      <c r="AA16" s="12"/>
      <c r="AB16" s="21"/>
      <c r="AC16" s="14">
        <v>16.098086757277834</v>
      </c>
      <c r="AD16" s="12"/>
      <c r="AE16" s="12"/>
      <c r="AF16" s="21"/>
      <c r="AG16" s="14">
        <v>4.8441181532763972E-2</v>
      </c>
      <c r="AH16" s="12"/>
      <c r="AI16" s="12"/>
      <c r="AJ16" s="7"/>
    </row>
    <row r="17" spans="1:36" s="13" customFormat="1" ht="17" customHeight="1" x14ac:dyDescent="0.25">
      <c r="A17" s="1"/>
      <c r="B17"/>
      <c r="C17" t="s">
        <v>2</v>
      </c>
      <c r="D17">
        <v>2</v>
      </c>
      <c r="E17" s="19">
        <v>1.2695566414130095</v>
      </c>
      <c r="F17" s="19"/>
      <c r="G17" s="19"/>
      <c r="H17" s="20"/>
      <c r="I17" s="14">
        <v>5.2081589356576421</v>
      </c>
      <c r="J17" s="19"/>
      <c r="K17" s="19"/>
      <c r="L17" s="20"/>
      <c r="M17" s="16">
        <v>0</v>
      </c>
      <c r="N17" s="19"/>
      <c r="O17" s="19"/>
      <c r="P17" s="4"/>
      <c r="Q17" s="14">
        <v>1.5966695169380993</v>
      </c>
      <c r="R17" s="12"/>
      <c r="S17" s="12"/>
      <c r="T17" s="4"/>
      <c r="U17" s="14">
        <v>11.307850395284643</v>
      </c>
      <c r="V17" s="12"/>
      <c r="W17" s="12"/>
      <c r="X17" s="21"/>
      <c r="Y17" s="16">
        <v>0</v>
      </c>
      <c r="Z17" s="12"/>
      <c r="AA17" s="12"/>
      <c r="AB17" s="21"/>
      <c r="AC17" s="14">
        <v>16.063902948191572</v>
      </c>
      <c r="AD17" s="12"/>
      <c r="AE17" s="12"/>
      <c r="AF17" s="21"/>
      <c r="AG17" s="14">
        <v>4.7782400455805285E-2</v>
      </c>
      <c r="AH17" s="12"/>
      <c r="AI17" s="12"/>
      <c r="AJ17" s="7"/>
    </row>
    <row r="18" spans="1:36" s="13" customFormat="1" ht="17" customHeight="1" x14ac:dyDescent="0.25">
      <c r="A18" s="1"/>
      <c r="B18"/>
      <c r="C18"/>
      <c r="D18"/>
      <c r="E18" s="19"/>
      <c r="F18" s="19"/>
      <c r="G18" s="19"/>
      <c r="H18" s="20"/>
      <c r="I18" s="4" t="s">
        <v>5</v>
      </c>
      <c r="J18" s="19"/>
      <c r="K18" s="19"/>
      <c r="L18" s="20"/>
      <c r="M18" s="16" t="s">
        <v>5</v>
      </c>
      <c r="N18" s="19"/>
      <c r="O18" s="19"/>
      <c r="P18" s="4"/>
      <c r="Q18" s="4" t="s">
        <v>5</v>
      </c>
      <c r="R18" s="12"/>
      <c r="S18" s="12"/>
      <c r="T18" s="4"/>
      <c r="U18" s="4" t="s">
        <v>5</v>
      </c>
      <c r="V18" s="12"/>
      <c r="W18" s="12"/>
      <c r="X18" s="21"/>
      <c r="Y18" s="16" t="s">
        <v>5</v>
      </c>
      <c r="Z18" s="12"/>
      <c r="AA18" s="12"/>
      <c r="AB18" s="21"/>
      <c r="AC18" s="14" t="s">
        <v>5</v>
      </c>
      <c r="AD18" s="12"/>
      <c r="AE18" s="12"/>
      <c r="AF18" s="21"/>
      <c r="AG18" s="4" t="s">
        <v>5</v>
      </c>
      <c r="AH18" s="12"/>
      <c r="AI18" s="12"/>
      <c r="AJ18" s="7"/>
    </row>
    <row r="19" spans="1:36" s="13" customFormat="1" ht="17" customHeight="1" x14ac:dyDescent="0.25">
      <c r="A19" s="1"/>
      <c r="B19">
        <v>0</v>
      </c>
      <c r="C19" t="s">
        <v>0</v>
      </c>
      <c r="D19">
        <v>3</v>
      </c>
      <c r="E19" s="19">
        <v>1.5457031425113192</v>
      </c>
      <c r="F19" s="19">
        <f>AVERAGE(E19:E21)</f>
        <v>1.2587976868247635</v>
      </c>
      <c r="G19" s="19">
        <f>STDEV(E19:E21)</f>
        <v>0.25963061349694022</v>
      </c>
      <c r="H19" s="20"/>
      <c r="I19" s="14">
        <v>7.5631825472391387</v>
      </c>
      <c r="J19" s="19">
        <f>AVERAGE(I19:I21)</f>
        <v>5.583941994534297</v>
      </c>
      <c r="K19" s="19">
        <f>STDEV(I19:I21)</f>
        <v>1.8199176492739009</v>
      </c>
      <c r="L19" s="20"/>
      <c r="M19" s="16">
        <v>0</v>
      </c>
      <c r="N19" s="19">
        <f>AVERAGE(M19:M21)</f>
        <v>0</v>
      </c>
      <c r="O19" s="19">
        <f>STDEV(M19:M21)</f>
        <v>0</v>
      </c>
      <c r="P19" s="4"/>
      <c r="Q19" s="14">
        <v>1.2763883251831332</v>
      </c>
      <c r="R19" s="12">
        <f>AVERAGE(Q19:Q21)</f>
        <v>1.1818762141565233</v>
      </c>
      <c r="S19" s="12">
        <f>STDEV(Q19:Q21)</f>
        <v>0.19264761341279979</v>
      </c>
      <c r="T19" s="4"/>
      <c r="U19" s="14">
        <v>2.0097031446272409</v>
      </c>
      <c r="V19" s="12">
        <f>AVERAGE(U19:U21)</f>
        <v>6.1729765005627542</v>
      </c>
      <c r="W19" s="12">
        <f>STDEV(U19:U21)</f>
        <v>3.7636375843742345</v>
      </c>
      <c r="X19" s="21"/>
      <c r="Y19" s="16">
        <v>0</v>
      </c>
      <c r="Z19" s="12">
        <f>AVERAGE(Y19:Y21)</f>
        <v>0</v>
      </c>
      <c r="AA19" s="12">
        <f>STDEV(Y19:Y21)</f>
        <v>0</v>
      </c>
      <c r="AB19" s="21"/>
      <c r="AC19" s="14">
        <v>12.063673665093173</v>
      </c>
      <c r="AD19" s="12">
        <f>AVERAGE(AC19:AC21)</f>
        <v>10.951286398711241</v>
      </c>
      <c r="AE19" s="12">
        <f>STDEV(AC19:AC21)</f>
        <v>2.1995505391430066</v>
      </c>
      <c r="AF19" s="21"/>
      <c r="AG19" s="14">
        <v>4.0903776418011434E-2</v>
      </c>
      <c r="AH19" s="12">
        <f>AVERAGE(AG19:AG21)</f>
        <v>3.510135930473867E-2</v>
      </c>
      <c r="AI19" s="12">
        <f>STDEV(AG19:AG21)</f>
        <v>7.1986163086253403E-3</v>
      </c>
      <c r="AJ19" s="15"/>
    </row>
    <row r="20" spans="1:36" s="13" customFormat="1" ht="17" customHeight="1" x14ac:dyDescent="0.25">
      <c r="A20" s="1"/>
      <c r="B20"/>
      <c r="C20" t="s">
        <v>1</v>
      </c>
      <c r="D20">
        <v>3</v>
      </c>
      <c r="E20" s="19">
        <v>1.0400322768637646</v>
      </c>
      <c r="F20" s="19"/>
      <c r="G20" s="19"/>
      <c r="H20" s="20"/>
      <c r="I20" s="14">
        <v>5.2059223853128938</v>
      </c>
      <c r="J20" s="19"/>
      <c r="K20" s="19"/>
      <c r="L20" s="20"/>
      <c r="M20" s="16">
        <v>0</v>
      </c>
      <c r="N20" s="19"/>
      <c r="O20" s="19"/>
      <c r="P20" s="4"/>
      <c r="Q20" s="14">
        <v>1.3090153954062034</v>
      </c>
      <c r="R20" s="12"/>
      <c r="S20" s="12"/>
      <c r="T20" s="4"/>
      <c r="U20" s="14">
        <v>9.3341195885774404</v>
      </c>
      <c r="V20" s="12"/>
      <c r="W20" s="12"/>
      <c r="X20" s="21"/>
      <c r="Y20" s="16">
        <v>0</v>
      </c>
      <c r="Z20" s="12"/>
      <c r="AA20" s="12"/>
      <c r="AB20" s="21"/>
      <c r="AC20" s="14">
        <v>12.372456794078959</v>
      </c>
      <c r="AD20" s="12"/>
      <c r="AE20" s="12"/>
      <c r="AF20" s="21"/>
      <c r="AG20" s="14">
        <v>3.7354667552954725E-2</v>
      </c>
      <c r="AH20" s="12"/>
      <c r="AI20" s="12"/>
      <c r="AJ20" s="7"/>
    </row>
    <row r="21" spans="1:36" s="13" customFormat="1" ht="17" customHeight="1" x14ac:dyDescent="0.25">
      <c r="A21" s="1"/>
      <c r="B21"/>
      <c r="C21" t="s">
        <v>2</v>
      </c>
      <c r="D21">
        <v>3</v>
      </c>
      <c r="E21" s="19">
        <v>1.1906576410992065</v>
      </c>
      <c r="F21" s="19"/>
      <c r="G21" s="19"/>
      <c r="H21" s="20"/>
      <c r="I21" s="14">
        <v>3.9827210510508597</v>
      </c>
      <c r="J21" s="19"/>
      <c r="K21" s="19"/>
      <c r="L21" s="20"/>
      <c r="M21" s="16">
        <v>0</v>
      </c>
      <c r="N21" s="19"/>
      <c r="O21" s="19"/>
      <c r="P21" s="4"/>
      <c r="Q21" s="14">
        <v>0.96022492188023345</v>
      </c>
      <c r="R21" s="12"/>
      <c r="S21" s="12"/>
      <c r="T21" s="4"/>
      <c r="U21" s="14">
        <v>7.1751067684835812</v>
      </c>
      <c r="V21" s="12"/>
      <c r="W21" s="12"/>
      <c r="X21" s="21"/>
      <c r="Y21" s="16">
        <v>0</v>
      </c>
      <c r="Z21" s="12"/>
      <c r="AA21" s="12"/>
      <c r="AB21" s="21"/>
      <c r="AC21" s="14">
        <v>8.4177287369615907</v>
      </c>
      <c r="AD21" s="12"/>
      <c r="AE21" s="12"/>
      <c r="AF21" s="21"/>
      <c r="AG21" s="14">
        <v>2.7045633943249867E-2</v>
      </c>
      <c r="AH21" s="12"/>
      <c r="AI21" s="12"/>
      <c r="AJ21" s="7"/>
    </row>
    <row r="22" spans="1:36" s="13" customFormat="1" ht="17" customHeight="1" x14ac:dyDescent="0.25">
      <c r="A22" s="1"/>
      <c r="B22"/>
      <c r="C22"/>
      <c r="D22"/>
      <c r="E22" s="19"/>
      <c r="F22" s="19"/>
      <c r="G22" s="19"/>
      <c r="H22" s="20"/>
      <c r="I22" s="4" t="s">
        <v>5</v>
      </c>
      <c r="J22" s="19"/>
      <c r="K22" s="19"/>
      <c r="L22" s="20"/>
      <c r="M22" s="16" t="s">
        <v>5</v>
      </c>
      <c r="N22" s="19"/>
      <c r="O22" s="19"/>
      <c r="P22" s="4"/>
      <c r="Q22" s="4" t="s">
        <v>5</v>
      </c>
      <c r="R22" s="12"/>
      <c r="S22" s="12"/>
      <c r="T22" s="4"/>
      <c r="U22" s="4" t="s">
        <v>5</v>
      </c>
      <c r="V22" s="12"/>
      <c r="W22" s="12"/>
      <c r="X22" s="21"/>
      <c r="Y22" s="16" t="s">
        <v>5</v>
      </c>
      <c r="Z22" s="12"/>
      <c r="AA22" s="12"/>
      <c r="AB22" s="21"/>
      <c r="AC22" s="14" t="s">
        <v>5</v>
      </c>
      <c r="AD22" s="12"/>
      <c r="AE22" s="12"/>
      <c r="AF22" s="21"/>
      <c r="AG22" s="4" t="s">
        <v>5</v>
      </c>
      <c r="AH22" s="12"/>
      <c r="AI22" s="12"/>
      <c r="AJ22" s="7"/>
    </row>
    <row r="23" spans="1:36" s="13" customFormat="1" ht="17" customHeight="1" x14ac:dyDescent="0.25">
      <c r="A23" s="1"/>
      <c r="B23">
        <v>0</v>
      </c>
      <c r="C23" t="s">
        <v>0</v>
      </c>
      <c r="D23">
        <v>4</v>
      </c>
      <c r="E23" s="19">
        <v>1.282108755099296</v>
      </c>
      <c r="F23" s="19">
        <f>AVERAGE(E23:E25)</f>
        <v>1.1413457659030797</v>
      </c>
      <c r="G23" s="19">
        <f>STDEV(E23:E25)</f>
        <v>0.15429766754444463</v>
      </c>
      <c r="H23" s="20"/>
      <c r="I23" s="14">
        <v>7.1093545315705065</v>
      </c>
      <c r="J23" s="19">
        <f>AVERAGE(I23:I25)</f>
        <v>5.2519101204968131</v>
      </c>
      <c r="K23" s="19">
        <f>STDEV(I23:I25)</f>
        <v>1.6193431758983383</v>
      </c>
      <c r="L23" s="20"/>
      <c r="M23" s="16">
        <v>0</v>
      </c>
      <c r="N23" s="19">
        <f>AVERAGE(M23:M25)</f>
        <v>0</v>
      </c>
      <c r="O23" s="19">
        <f>STDEV(M23:M25)</f>
        <v>0</v>
      </c>
      <c r="P23" s="4"/>
      <c r="Q23" s="14">
        <v>1.0272128679904011</v>
      </c>
      <c r="R23" s="12">
        <f>AVERAGE(Q23:Q25)</f>
        <v>1.1607605627512869</v>
      </c>
      <c r="S23" s="12">
        <f>STDEV(Q23:Q25)</f>
        <v>0.1196447828888946</v>
      </c>
      <c r="T23" s="4"/>
      <c r="U23" s="14">
        <v>7.6158675964858338</v>
      </c>
      <c r="V23" s="12">
        <f>AVERAGE(U23:U25)</f>
        <v>8.4084754618450486</v>
      </c>
      <c r="W23" s="12">
        <f>STDEV(U23:U25)</f>
        <v>0.70177221113595134</v>
      </c>
      <c r="X23" s="21"/>
      <c r="Y23" s="16">
        <v>0</v>
      </c>
      <c r="Z23" s="12">
        <f>AVERAGE(Y23:Y25)</f>
        <v>0</v>
      </c>
      <c r="AA23" s="12">
        <f>STDEV(Y23:Y25)</f>
        <v>0</v>
      </c>
      <c r="AB23" s="21"/>
      <c r="AC23" s="14">
        <v>9.2479234975137423</v>
      </c>
      <c r="AD23" s="12">
        <f>AVERAGE(AC23:AC25)</f>
        <v>10.590817504759297</v>
      </c>
      <c r="AE23" s="12">
        <f>STDEV(AC23:AC25)</f>
        <v>1.2018059214145911</v>
      </c>
      <c r="AF23" s="21"/>
      <c r="AG23" s="14">
        <v>2.9069456891384213E-2</v>
      </c>
      <c r="AH23" s="12">
        <f>AVERAGE(AG23:AG25)</f>
        <v>3.2962793706563479E-2</v>
      </c>
      <c r="AI23" s="12">
        <f>STDEV(AG23:AG25)</f>
        <v>3.3858232141311395E-3</v>
      </c>
      <c r="AJ23" s="18"/>
    </row>
    <row r="24" spans="1:36" s="13" customFormat="1" ht="17" customHeight="1" x14ac:dyDescent="0.25">
      <c r="A24" s="1"/>
      <c r="B24"/>
      <c r="C24" t="s">
        <v>1</v>
      </c>
      <c r="D24">
        <v>4</v>
      </c>
      <c r="E24" s="19">
        <v>1.1655534137266328</v>
      </c>
      <c r="F24" s="19"/>
      <c r="G24" s="19"/>
      <c r="H24" s="20"/>
      <c r="I24" s="14">
        <v>4.5094606079582853</v>
      </c>
      <c r="J24" s="19"/>
      <c r="K24" s="19"/>
      <c r="L24" s="20"/>
      <c r="M24" s="16">
        <v>0</v>
      </c>
      <c r="N24" s="19"/>
      <c r="O24" s="19"/>
      <c r="P24" s="4"/>
      <c r="Q24" s="14">
        <v>1.2581715443085859</v>
      </c>
      <c r="R24" s="12"/>
      <c r="S24" s="12"/>
      <c r="T24" s="4"/>
      <c r="U24" s="14">
        <v>8.9507719119722058</v>
      </c>
      <c r="V24" s="12"/>
      <c r="W24" s="12"/>
      <c r="X24" s="21"/>
      <c r="Y24" s="16">
        <v>0</v>
      </c>
      <c r="Z24" s="12"/>
      <c r="AA24" s="12"/>
      <c r="AB24" s="21"/>
      <c r="AC24" s="14">
        <v>11.565273149719506</v>
      </c>
      <c r="AD24" s="12"/>
      <c r="AE24" s="12"/>
      <c r="AF24" s="21"/>
      <c r="AG24" s="14">
        <v>3.5218080276331956E-2</v>
      </c>
      <c r="AH24" s="12"/>
      <c r="AI24" s="12"/>
      <c r="AJ24" s="18"/>
    </row>
    <row r="25" spans="1:36" s="13" customFormat="1" ht="17" customHeight="1" x14ac:dyDescent="0.25">
      <c r="A25" s="1"/>
      <c r="B25"/>
      <c r="C25" t="s">
        <v>2</v>
      </c>
      <c r="D25">
        <v>4</v>
      </c>
      <c r="E25" s="19">
        <v>0.97637512888331013</v>
      </c>
      <c r="F25" s="19"/>
      <c r="G25" s="19"/>
      <c r="H25" s="20"/>
      <c r="I25" s="14">
        <v>4.1369152219616465</v>
      </c>
      <c r="J25" s="19"/>
      <c r="K25" s="19"/>
      <c r="L25" s="20"/>
      <c r="M25" s="16">
        <v>0</v>
      </c>
      <c r="N25" s="19"/>
      <c r="O25" s="19"/>
      <c r="P25" s="4"/>
      <c r="Q25" s="14">
        <v>1.1968972759548737</v>
      </c>
      <c r="R25" s="12"/>
      <c r="S25" s="12"/>
      <c r="T25" s="4"/>
      <c r="U25" s="14">
        <v>8.6587868770771088</v>
      </c>
      <c r="V25" s="12"/>
      <c r="W25" s="12"/>
      <c r="X25" s="21"/>
      <c r="Y25" s="16">
        <v>0</v>
      </c>
      <c r="Z25" s="12"/>
      <c r="AA25" s="12"/>
      <c r="AB25" s="21"/>
      <c r="AC25" s="14">
        <v>10.959255867044643</v>
      </c>
      <c r="AD25" s="12"/>
      <c r="AE25" s="12"/>
      <c r="AF25" s="21"/>
      <c r="AG25" s="14">
        <v>3.4600843951974269E-2</v>
      </c>
      <c r="AH25" s="12"/>
      <c r="AI25" s="12"/>
      <c r="AJ25" s="18"/>
    </row>
    <row r="26" spans="1:36" s="13" customFormat="1" ht="17" customHeight="1" x14ac:dyDescent="0.25">
      <c r="A26" s="1"/>
      <c r="B26"/>
      <c r="C26"/>
      <c r="D26"/>
      <c r="E26" s="19"/>
      <c r="F26" s="19"/>
      <c r="G26" s="19"/>
      <c r="H26" s="20"/>
      <c r="I26" s="4" t="s">
        <v>5</v>
      </c>
      <c r="J26" s="19"/>
      <c r="K26" s="19"/>
      <c r="L26" s="20"/>
      <c r="M26" s="16" t="s">
        <v>5</v>
      </c>
      <c r="N26" s="19"/>
      <c r="O26" s="19"/>
      <c r="P26" s="4"/>
      <c r="Q26" s="4" t="s">
        <v>5</v>
      </c>
      <c r="R26" s="12"/>
      <c r="S26" s="12"/>
      <c r="T26" s="4"/>
      <c r="U26" s="4" t="s">
        <v>5</v>
      </c>
      <c r="V26" s="12"/>
      <c r="W26" s="12"/>
      <c r="X26" s="21"/>
      <c r="Y26" s="16" t="s">
        <v>5</v>
      </c>
      <c r="Z26" s="12"/>
      <c r="AA26" s="12"/>
      <c r="AB26" s="21"/>
      <c r="AC26" s="14" t="s">
        <v>5</v>
      </c>
      <c r="AD26" s="12"/>
      <c r="AE26" s="12"/>
      <c r="AF26" s="21"/>
      <c r="AG26" s="4" t="s">
        <v>5</v>
      </c>
      <c r="AH26" s="12"/>
      <c r="AI26" s="12"/>
      <c r="AJ26" s="18"/>
    </row>
    <row r="27" spans="1:36" s="13" customFormat="1" ht="17" customHeight="1" x14ac:dyDescent="0.25">
      <c r="A27" s="1"/>
      <c r="B27">
        <v>0</v>
      </c>
      <c r="C27" t="s">
        <v>0</v>
      </c>
      <c r="D27">
        <v>5</v>
      </c>
      <c r="E27" s="19">
        <v>1.1323799704128747</v>
      </c>
      <c r="F27" s="19">
        <f>AVERAGE(E27:E29)</f>
        <v>1.1160921086056694</v>
      </c>
      <c r="G27" s="19">
        <f>STDEV(E27:E29)</f>
        <v>0.28478940620148724</v>
      </c>
      <c r="H27" s="20"/>
      <c r="I27" s="14">
        <v>3.8362589541890593</v>
      </c>
      <c r="J27" s="19">
        <f>AVERAGE(I27:I29)</f>
        <v>5.2708888477079627</v>
      </c>
      <c r="K27" s="19">
        <f>STDEV(I27:I29)</f>
        <v>2.4430790101121898</v>
      </c>
      <c r="L27" s="20"/>
      <c r="M27" s="16">
        <v>0</v>
      </c>
      <c r="N27" s="19">
        <f>AVERAGE(M27:M29)</f>
        <v>0</v>
      </c>
      <c r="O27" s="19">
        <f>STDEV(M27:M29)</f>
        <v>0</v>
      </c>
      <c r="P27" s="4"/>
      <c r="Q27" s="14">
        <v>0.92445335865740397</v>
      </c>
      <c r="R27" s="12">
        <f>AVERAGE(Q27:Q29)</f>
        <v>1.0082014261865078</v>
      </c>
      <c r="S27" s="12">
        <f>STDEV(Q27:Q29)</f>
        <v>7.2532235609303108E-2</v>
      </c>
      <c r="T27" s="4"/>
      <c r="U27" s="14">
        <v>6.835223501306869</v>
      </c>
      <c r="V27" s="12">
        <f>AVERAGE(U27:U29)</f>
        <v>7.3534629563916818</v>
      </c>
      <c r="W27" s="12">
        <f>STDEV(U27:U29)</f>
        <v>0.44946529560453652</v>
      </c>
      <c r="X27" s="21"/>
      <c r="Y27" s="16">
        <v>0</v>
      </c>
      <c r="Z27" s="12">
        <f>AVERAGE(Y27:Y29)</f>
        <v>0</v>
      </c>
      <c r="AA27" s="12">
        <f>STDEV(Y27:Y29)</f>
        <v>0</v>
      </c>
      <c r="AB27" s="21"/>
      <c r="AC27" s="14">
        <v>7.9876958397604438</v>
      </c>
      <c r="AD27" s="12">
        <f>AVERAGE(AC27:AC29)</f>
        <v>8.789862385411217</v>
      </c>
      <c r="AE27" s="12">
        <f>STDEV(AC27:AC29)</f>
        <v>0.69598340804277981</v>
      </c>
      <c r="AF27" s="21"/>
      <c r="AG27" s="14">
        <v>2.4469859281987978E-2</v>
      </c>
      <c r="AH27" s="12">
        <f>AVERAGE(AG27:AG29)</f>
        <v>2.6938804579418732E-2</v>
      </c>
      <c r="AI27" s="12">
        <f>STDEV(AG27:AG29)</f>
        <v>2.1382434790099148E-3</v>
      </c>
      <c r="AJ27" s="18"/>
    </row>
    <row r="28" spans="1:36" s="13" customFormat="1" ht="17" customHeight="1" x14ac:dyDescent="0.25">
      <c r="A28" s="1"/>
      <c r="B28"/>
      <c r="C28" t="s">
        <v>1</v>
      </c>
      <c r="D28">
        <v>5</v>
      </c>
      <c r="E28" s="19">
        <v>1.392388039628816</v>
      </c>
      <c r="F28" s="19"/>
      <c r="G28" s="19"/>
      <c r="H28" s="20"/>
      <c r="I28" s="14">
        <v>8.0917752458607843</v>
      </c>
      <c r="J28" s="19"/>
      <c r="K28" s="19"/>
      <c r="L28" s="20"/>
      <c r="M28" s="16">
        <v>0</v>
      </c>
      <c r="N28" s="19"/>
      <c r="O28" s="19"/>
      <c r="P28" s="4"/>
      <c r="Q28" s="14">
        <v>1.0492873664674105</v>
      </c>
      <c r="R28" s="12"/>
      <c r="S28" s="12"/>
      <c r="T28" s="4"/>
      <c r="U28" s="14">
        <v>7.6368716186147321</v>
      </c>
      <c r="V28" s="12"/>
      <c r="W28" s="12"/>
      <c r="X28" s="21"/>
      <c r="Y28" s="16">
        <v>0</v>
      </c>
      <c r="Z28" s="12"/>
      <c r="AA28" s="12"/>
      <c r="AB28" s="21"/>
      <c r="AC28" s="14">
        <v>9.2332484837908506</v>
      </c>
      <c r="AD28" s="12"/>
      <c r="AE28" s="12"/>
      <c r="AF28" s="21"/>
      <c r="AG28" s="14">
        <v>2.8191082122105967E-2</v>
      </c>
      <c r="AH28" s="12"/>
      <c r="AI28" s="12"/>
      <c r="AJ28" s="18"/>
    </row>
    <row r="29" spans="1:36" s="13" customFormat="1" ht="17" customHeight="1" x14ac:dyDescent="0.25">
      <c r="A29" s="1"/>
      <c r="B29"/>
      <c r="C29" t="s">
        <v>2</v>
      </c>
      <c r="D29">
        <v>5</v>
      </c>
      <c r="E29" s="19">
        <v>0.82350831577531713</v>
      </c>
      <c r="F29" s="19"/>
      <c r="G29" s="19"/>
      <c r="H29" s="20"/>
      <c r="I29" s="14">
        <v>3.8846323430740433</v>
      </c>
      <c r="J29" s="19"/>
      <c r="K29" s="19"/>
      <c r="L29" s="20"/>
      <c r="M29" s="16">
        <v>0</v>
      </c>
      <c r="N29" s="19"/>
      <c r="O29" s="19"/>
      <c r="P29" s="4"/>
      <c r="Q29" s="14">
        <v>1.0508635534347086</v>
      </c>
      <c r="R29" s="12"/>
      <c r="S29" s="12"/>
      <c r="T29" s="4"/>
      <c r="U29" s="14">
        <v>7.5882937492534444</v>
      </c>
      <c r="V29" s="12"/>
      <c r="W29" s="12"/>
      <c r="X29" s="21"/>
      <c r="Y29" s="16">
        <v>0</v>
      </c>
      <c r="Z29" s="12"/>
      <c r="AA29" s="12"/>
      <c r="AB29" s="21"/>
      <c r="AC29" s="14">
        <v>9.1486428326823539</v>
      </c>
      <c r="AD29" s="12"/>
      <c r="AE29" s="12"/>
      <c r="AF29" s="21"/>
      <c r="AG29" s="14">
        <v>2.8155472334162251E-2</v>
      </c>
      <c r="AH29" s="12"/>
      <c r="AI29" s="12"/>
      <c r="AJ29" s="18"/>
    </row>
    <row r="30" spans="1:36" s="13" customFormat="1" ht="17" customHeight="1" x14ac:dyDescent="0.25">
      <c r="A30" s="1"/>
      <c r="B30"/>
      <c r="C30"/>
      <c r="D30"/>
      <c r="E30" s="19"/>
      <c r="F30" s="19"/>
      <c r="G30" s="19"/>
      <c r="H30" s="20"/>
      <c r="I30" s="4" t="s">
        <v>5</v>
      </c>
      <c r="J30" s="19"/>
      <c r="K30" s="19"/>
      <c r="L30" s="20"/>
      <c r="M30" s="16" t="s">
        <v>5</v>
      </c>
      <c r="N30" s="19"/>
      <c r="O30" s="19"/>
      <c r="P30" s="4"/>
      <c r="Q30" s="4" t="s">
        <v>5</v>
      </c>
      <c r="R30" s="12"/>
      <c r="S30" s="12"/>
      <c r="T30" s="4"/>
      <c r="U30" s="4" t="s">
        <v>5</v>
      </c>
      <c r="V30" s="12"/>
      <c r="W30" s="12"/>
      <c r="X30" s="21"/>
      <c r="Y30" s="16" t="s">
        <v>5</v>
      </c>
      <c r="Z30" s="12"/>
      <c r="AA30" s="12"/>
      <c r="AB30" s="21"/>
      <c r="AC30" s="14" t="s">
        <v>5</v>
      </c>
      <c r="AD30" s="12"/>
      <c r="AE30" s="12"/>
      <c r="AF30" s="21"/>
      <c r="AG30" s="4" t="s">
        <v>5</v>
      </c>
      <c r="AH30" s="12"/>
      <c r="AI30" s="12"/>
      <c r="AJ30" s="18"/>
    </row>
    <row r="31" spans="1:36" s="13" customFormat="1" ht="17" customHeight="1" x14ac:dyDescent="0.25">
      <c r="A31" s="1"/>
      <c r="B31">
        <v>0</v>
      </c>
      <c r="C31" t="s">
        <v>0</v>
      </c>
      <c r="D31">
        <v>6</v>
      </c>
      <c r="E31" s="19">
        <v>0.57112117272605012</v>
      </c>
      <c r="F31" s="19">
        <f>AVERAGE(E31:E32)</f>
        <v>0.61819159904962562</v>
      </c>
      <c r="G31" s="19">
        <f>STDEV(E31:E32)</f>
        <v>6.6567635293484098E-2</v>
      </c>
      <c r="H31" s="20"/>
      <c r="I31" s="14">
        <v>3.2420394783086568</v>
      </c>
      <c r="J31" s="19">
        <f>AVERAGE(I31:I33)</f>
        <v>3.1558790388371647</v>
      </c>
      <c r="K31" s="19">
        <f>STDEV(I31:I33)</f>
        <v>8.9750982574356861E-2</v>
      </c>
      <c r="L31" s="20"/>
      <c r="M31" s="16">
        <v>0</v>
      </c>
      <c r="N31" s="19">
        <f>AVERAGE(M31:M33)</f>
        <v>0</v>
      </c>
      <c r="O31" s="19">
        <f>STDEV(M31:M33)</f>
        <v>0</v>
      </c>
      <c r="P31" s="4"/>
      <c r="Q31" s="14">
        <v>1.0331866165964607</v>
      </c>
      <c r="R31" s="12">
        <f>AVERAGE(Q31:Q33)</f>
        <v>1.0483337733521949</v>
      </c>
      <c r="S31" s="12">
        <f>STDEV(Q31:Q33)</f>
        <v>1.3374677833726752E-2</v>
      </c>
      <c r="T31" s="4"/>
      <c r="U31" s="14">
        <v>7.4836943663249409</v>
      </c>
      <c r="V31" s="12">
        <f>AVERAGE(U31:U33)</f>
        <v>7.6367745276033503</v>
      </c>
      <c r="W31" s="12">
        <f>STDEV(U31:U33)</f>
        <v>0.13353573594187598</v>
      </c>
      <c r="X31" s="21"/>
      <c r="Y31" s="16">
        <v>0</v>
      </c>
      <c r="Z31" s="12">
        <f>AVERAGE(Y31:Y33)</f>
        <v>0</v>
      </c>
      <c r="AA31" s="12">
        <f>STDEV(Y31:Y33)</f>
        <v>0</v>
      </c>
      <c r="AB31" s="21"/>
      <c r="AC31" s="14">
        <v>9.016915046779248</v>
      </c>
      <c r="AD31" s="12">
        <f>AVERAGE(AC31:AC33)</f>
        <v>9.2119065177454633</v>
      </c>
      <c r="AE31" s="12">
        <f>STDEV(AC31:AC33)</f>
        <v>0.18989864693670058</v>
      </c>
      <c r="AF31" s="21"/>
      <c r="AG31" s="14">
        <v>2.6849780109559448E-2</v>
      </c>
      <c r="AH31" s="12">
        <f>AVERAGE(AG31:AG33)</f>
        <v>2.7977423394443687E-2</v>
      </c>
      <c r="AI31" s="12">
        <f>STDEV(AG31:AG33)</f>
        <v>1.0500024341043332E-3</v>
      </c>
      <c r="AJ31" s="18"/>
    </row>
    <row r="32" spans="1:36" s="13" customFormat="1" ht="17" customHeight="1" x14ac:dyDescent="0.25">
      <c r="A32" s="1"/>
      <c r="B32"/>
      <c r="C32" t="s">
        <v>1</v>
      </c>
      <c r="D32">
        <v>6</v>
      </c>
      <c r="E32" s="19">
        <v>0.66526202537320123</v>
      </c>
      <c r="F32" s="19"/>
      <c r="G32" s="19"/>
      <c r="H32" s="20"/>
      <c r="I32" s="14">
        <v>3.0629237464135315</v>
      </c>
      <c r="J32" s="19"/>
      <c r="K32" s="19"/>
      <c r="L32" s="20"/>
      <c r="M32" s="16">
        <v>0</v>
      </c>
      <c r="N32" s="19"/>
      <c r="O32" s="19"/>
      <c r="P32" s="4"/>
      <c r="Q32" s="14">
        <v>1.0532987622991838</v>
      </c>
      <c r="R32" s="4"/>
      <c r="S32" s="4"/>
      <c r="T32" s="4"/>
      <c r="U32" s="14">
        <v>7.6972945913645816</v>
      </c>
      <c r="V32" s="4"/>
      <c r="W32" s="4"/>
      <c r="X32" s="21"/>
      <c r="Y32" s="16">
        <v>0</v>
      </c>
      <c r="Z32" s="4"/>
      <c r="AA32" s="4"/>
      <c r="AB32" s="21"/>
      <c r="AC32" s="14">
        <v>9.2225389077011677</v>
      </c>
      <c r="AD32" s="4"/>
      <c r="AE32" s="4"/>
      <c r="AF32" s="21"/>
      <c r="AG32" s="14">
        <v>2.8155472334162251E-2</v>
      </c>
      <c r="AH32" s="4"/>
      <c r="AI32" s="4"/>
      <c r="AJ32" s="7"/>
    </row>
    <row r="33" spans="1:36" s="13" customFormat="1" ht="17" customHeight="1" x14ac:dyDescent="0.25">
      <c r="A33" s="1"/>
      <c r="B33"/>
      <c r="C33" t="s">
        <v>2</v>
      </c>
      <c r="D33">
        <v>6</v>
      </c>
      <c r="E33" s="19">
        <v>0.55543103061819155</v>
      </c>
      <c r="F33" s="19"/>
      <c r="G33" s="19"/>
      <c r="H33" s="20"/>
      <c r="I33" s="14">
        <v>3.1626738917893045</v>
      </c>
      <c r="J33" s="19"/>
      <c r="K33" s="19"/>
      <c r="L33" s="20"/>
      <c r="M33" s="16">
        <v>0</v>
      </c>
      <c r="N33" s="19"/>
      <c r="O33" s="19"/>
      <c r="P33" s="4"/>
      <c r="Q33" s="14">
        <v>1.0585159411609406</v>
      </c>
      <c r="R33" s="4"/>
      <c r="S33" s="4"/>
      <c r="T33" s="4"/>
      <c r="U33" s="14">
        <v>7.7293346251205284</v>
      </c>
      <c r="V33" s="4"/>
      <c r="W33" s="4"/>
      <c r="X33" s="21"/>
      <c r="Y33" s="16">
        <v>0</v>
      </c>
      <c r="Z33" s="4"/>
      <c r="AA33" s="4"/>
      <c r="AB33" s="21"/>
      <c r="AC33" s="14">
        <v>9.396265598755976</v>
      </c>
      <c r="AD33" s="4"/>
      <c r="AE33" s="4"/>
      <c r="AF33" s="21"/>
      <c r="AG33" s="14">
        <v>2.8927017739609363E-2</v>
      </c>
      <c r="AH33" s="4"/>
      <c r="AI33" s="4"/>
      <c r="AJ33" s="7"/>
    </row>
    <row r="34" spans="1:36" x14ac:dyDescent="0.2">
      <c r="E34" s="4"/>
      <c r="F34" s="4"/>
      <c r="G34" s="4"/>
      <c r="H34" s="4"/>
      <c r="I34" s="4"/>
      <c r="J34" s="4"/>
      <c r="K34" s="20"/>
      <c r="L34" s="20"/>
      <c r="M34" s="20"/>
      <c r="N34" s="20"/>
      <c r="O34" s="20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</row>
    <row r="35" spans="1:36" x14ac:dyDescent="0.2">
      <c r="E35"/>
      <c r="F35"/>
      <c r="G35"/>
      <c r="H35"/>
      <c r="I35"/>
      <c r="J35"/>
      <c r="M35" s="17" t="s">
        <v>13</v>
      </c>
      <c r="Y35" s="17" t="s">
        <v>14</v>
      </c>
    </row>
    <row r="36" spans="1:36" x14ac:dyDescent="0.2">
      <c r="E36"/>
      <c r="F36"/>
      <c r="G36"/>
      <c r="H36"/>
      <c r="I36"/>
      <c r="J36"/>
    </row>
    <row r="37" spans="1:36" x14ac:dyDescent="0.2">
      <c r="E37"/>
      <c r="F37"/>
      <c r="G37"/>
      <c r="H37"/>
      <c r="I37"/>
      <c r="J37"/>
    </row>
    <row r="38" spans="1:36" x14ac:dyDescent="0.2">
      <c r="E38"/>
      <c r="F38"/>
      <c r="G38"/>
      <c r="H38"/>
      <c r="I38"/>
      <c r="J38"/>
    </row>
    <row r="39" spans="1:36" x14ac:dyDescent="0.2">
      <c r="E39"/>
      <c r="F39"/>
      <c r="G39"/>
      <c r="H39"/>
      <c r="I39"/>
      <c r="J39"/>
    </row>
    <row r="40" spans="1:36" x14ac:dyDescent="0.2">
      <c r="E40"/>
      <c r="F40"/>
      <c r="G40"/>
      <c r="H40"/>
      <c r="I40"/>
      <c r="J40"/>
    </row>
    <row r="41" spans="1:36" x14ac:dyDescent="0.2">
      <c r="E41"/>
      <c r="F41"/>
      <c r="G41"/>
      <c r="H41"/>
      <c r="I41"/>
      <c r="J41"/>
    </row>
    <row r="42" spans="1:36" x14ac:dyDescent="0.2">
      <c r="E42"/>
      <c r="F42"/>
      <c r="G42"/>
      <c r="H42"/>
      <c r="I42"/>
      <c r="J42"/>
    </row>
    <row r="43" spans="1:36" x14ac:dyDescent="0.2">
      <c r="E43"/>
      <c r="F43"/>
      <c r="G43"/>
      <c r="H43"/>
      <c r="I43"/>
      <c r="J43"/>
    </row>
    <row r="44" spans="1:36" x14ac:dyDescent="0.2">
      <c r="E44"/>
      <c r="F44"/>
      <c r="G44"/>
      <c r="H44"/>
      <c r="I44"/>
      <c r="J44"/>
    </row>
    <row r="45" spans="1:36" x14ac:dyDescent="0.2">
      <c r="E45"/>
      <c r="F45"/>
      <c r="G45"/>
      <c r="H45"/>
      <c r="I45"/>
      <c r="J45"/>
    </row>
    <row r="46" spans="1:36" x14ac:dyDescent="0.2">
      <c r="E46"/>
      <c r="F46"/>
      <c r="G46"/>
      <c r="H46"/>
      <c r="I46"/>
      <c r="J46"/>
    </row>
    <row r="47" spans="1:36" x14ac:dyDescent="0.2">
      <c r="E47"/>
      <c r="F47"/>
      <c r="G47"/>
      <c r="H47"/>
      <c r="I47"/>
      <c r="J47"/>
    </row>
    <row r="48" spans="1:36" x14ac:dyDescent="0.2">
      <c r="E48"/>
      <c r="F48"/>
      <c r="G48"/>
      <c r="H48"/>
      <c r="I48"/>
      <c r="J48"/>
    </row>
    <row r="49" spans="5:10" x14ac:dyDescent="0.2">
      <c r="E49"/>
      <c r="F49"/>
      <c r="G49"/>
      <c r="H49"/>
      <c r="I49"/>
      <c r="J49"/>
    </row>
    <row r="50" spans="5:10" x14ac:dyDescent="0.2">
      <c r="E50"/>
      <c r="F50"/>
      <c r="G50"/>
      <c r="H50"/>
      <c r="I50"/>
      <c r="J50"/>
    </row>
  </sheetData>
  <printOptions gridLines="1"/>
  <pageMargins left="0.25" right="0.25" top="0.75" bottom="0.75" header="0.3" footer="0.3"/>
  <pageSetup paperSize="17" scale="4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87165-216F-4ECC-9C71-61900B1D0EA9}">
  <sheetPr>
    <pageSetUpPr fitToPage="1"/>
  </sheetPr>
  <dimension ref="A6:AJ89"/>
  <sheetViews>
    <sheetView workbookViewId="0">
      <selection activeCell="AD31" sqref="AD31:AE31"/>
    </sheetView>
  </sheetViews>
  <sheetFormatPr baseColWidth="10" defaultColWidth="8.83203125" defaultRowHeight="15" x14ac:dyDescent="0.2"/>
  <cols>
    <col min="2" max="2" width="7.5" customWidth="1"/>
    <col min="3" max="4" width="3.5" customWidth="1"/>
    <col min="5" max="5" width="10" style="3" customWidth="1"/>
    <col min="6" max="6" width="12.83203125" style="3" customWidth="1"/>
    <col min="7" max="7" width="10" style="3" customWidth="1"/>
    <col min="8" max="8" width="2.5" style="5" customWidth="1"/>
    <col min="9" max="9" width="11.6640625" style="5" customWidth="1"/>
    <col min="10" max="11" width="8" style="5" customWidth="1"/>
    <col min="12" max="12" width="2.5" style="5" customWidth="1"/>
    <col min="13" max="13" width="10.33203125" style="5" customWidth="1"/>
    <col min="14" max="15" width="8.33203125" style="5" customWidth="1"/>
    <col min="16" max="16" width="2" customWidth="1"/>
    <col min="20" max="20" width="2.33203125" customWidth="1"/>
    <col min="22" max="23" width="9.1640625" style="8"/>
    <col min="24" max="24" width="2" customWidth="1"/>
    <col min="28" max="28" width="1.5" customWidth="1"/>
    <col min="30" max="31" width="9.1640625" style="8"/>
    <col min="32" max="32" width="1.5" customWidth="1"/>
    <col min="34" max="35" width="9.1640625" style="4"/>
    <col min="36" max="36" width="1.83203125" style="5" customWidth="1"/>
  </cols>
  <sheetData>
    <row r="6" spans="1:36" x14ac:dyDescent="0.2">
      <c r="B6" s="2" t="s">
        <v>10</v>
      </c>
    </row>
    <row r="7" spans="1:36" x14ac:dyDescent="0.2">
      <c r="E7" s="6" t="s">
        <v>5</v>
      </c>
      <c r="F7" s="6"/>
      <c r="G7" s="6"/>
      <c r="H7" s="7"/>
      <c r="I7" s="7" t="s">
        <v>5</v>
      </c>
      <c r="J7" s="7"/>
      <c r="K7" s="7"/>
      <c r="L7" s="7"/>
      <c r="M7" s="7" t="s">
        <v>5</v>
      </c>
      <c r="N7" s="7"/>
    </row>
    <row r="8" spans="1:36" ht="16" x14ac:dyDescent="0.2">
      <c r="A8" s="1"/>
      <c r="E8" t="s">
        <v>15</v>
      </c>
      <c r="I8" t="s">
        <v>16</v>
      </c>
      <c r="J8" s="7"/>
      <c r="K8" s="7"/>
      <c r="M8" t="s">
        <v>17</v>
      </c>
      <c r="Q8" t="s">
        <v>18</v>
      </c>
      <c r="R8" s="9"/>
      <c r="S8" s="9"/>
      <c r="U8" t="s">
        <v>19</v>
      </c>
      <c r="V8" s="10"/>
      <c r="W8" s="10"/>
      <c r="Y8" t="s">
        <v>20</v>
      </c>
      <c r="Z8" s="9"/>
      <c r="AA8" s="9"/>
      <c r="AC8" s="11" t="s">
        <v>21</v>
      </c>
      <c r="AD8" s="10"/>
      <c r="AE8" s="10"/>
      <c r="AG8" t="s">
        <v>22</v>
      </c>
      <c r="AH8" s="12"/>
      <c r="AI8" s="12"/>
    </row>
    <row r="9" spans="1:36" s="13" customFormat="1" ht="17" customHeight="1" x14ac:dyDescent="0.25">
      <c r="A9" s="1"/>
      <c r="B9"/>
      <c r="C9"/>
      <c r="D9"/>
      <c r="E9" t="s">
        <v>12</v>
      </c>
      <c r="F9" s="6" t="s">
        <v>3</v>
      </c>
      <c r="G9" s="6" t="s">
        <v>4</v>
      </c>
      <c r="H9" s="5" t="s">
        <v>5</v>
      </c>
      <c r="I9" t="s">
        <v>12</v>
      </c>
      <c r="J9" s="7" t="s">
        <v>3</v>
      </c>
      <c r="K9" s="7" t="s">
        <v>4</v>
      </c>
      <c r="L9" s="5" t="s">
        <v>5</v>
      </c>
      <c r="M9" t="s">
        <v>12</v>
      </c>
      <c r="N9" s="7" t="s">
        <v>3</v>
      </c>
      <c r="O9" s="7" t="s">
        <v>4</v>
      </c>
      <c r="P9"/>
      <c r="Q9" t="s">
        <v>12</v>
      </c>
      <c r="R9" s="9" t="s">
        <v>3</v>
      </c>
      <c r="S9" s="9" t="s">
        <v>4</v>
      </c>
      <c r="T9"/>
      <c r="U9" t="s">
        <v>12</v>
      </c>
      <c r="V9" s="10" t="s">
        <v>3</v>
      </c>
      <c r="W9" s="10" t="s">
        <v>4</v>
      </c>
      <c r="Y9" t="s">
        <v>12</v>
      </c>
      <c r="Z9" s="9" t="s">
        <v>3</v>
      </c>
      <c r="AA9" s="9" t="s">
        <v>4</v>
      </c>
      <c r="AC9" s="11" t="s">
        <v>12</v>
      </c>
      <c r="AD9" s="10" t="s">
        <v>3</v>
      </c>
      <c r="AE9" s="10" t="s">
        <v>4</v>
      </c>
      <c r="AG9" t="s">
        <v>12</v>
      </c>
      <c r="AH9" s="12" t="s">
        <v>3</v>
      </c>
      <c r="AI9" s="12" t="s">
        <v>4</v>
      </c>
      <c r="AJ9" s="7"/>
    </row>
    <row r="10" spans="1:36" ht="17" customHeight="1" x14ac:dyDescent="0.25">
      <c r="E10"/>
      <c r="F10" s="6"/>
      <c r="G10" s="6"/>
      <c r="I10"/>
      <c r="J10" s="7"/>
      <c r="K10" s="7"/>
      <c r="M10"/>
      <c r="N10" s="7"/>
      <c r="O10" s="7"/>
      <c r="X10" s="13"/>
      <c r="AB10" s="13"/>
      <c r="AC10" s="11"/>
      <c r="AF10" s="13"/>
      <c r="AJ10" s="7"/>
    </row>
    <row r="11" spans="1:36" ht="17" customHeight="1" x14ac:dyDescent="0.25">
      <c r="B11">
        <v>0.1</v>
      </c>
      <c r="C11" t="s">
        <v>0</v>
      </c>
      <c r="D11">
        <v>1</v>
      </c>
      <c r="E11" s="14">
        <v>17.355986909938583</v>
      </c>
      <c r="F11" s="19">
        <f>AVERAGE(E11:E13)</f>
        <v>15.145320601903736</v>
      </c>
      <c r="G11" s="19">
        <f>STDEV(E11:E13)</f>
        <v>1.9372206744155949</v>
      </c>
      <c r="H11" s="20"/>
      <c r="I11" s="14">
        <v>6.3804947249362591</v>
      </c>
      <c r="J11" s="19">
        <f>AVERAGE(I11:I13)</f>
        <v>7.0598948182323582</v>
      </c>
      <c r="K11" s="19">
        <f>STDEV(I11:I13)</f>
        <v>0.59087365776094047</v>
      </c>
      <c r="L11" s="20"/>
      <c r="M11" s="14">
        <v>0.70268763783534904</v>
      </c>
      <c r="N11" s="19">
        <f>AVERAGE(M11:M13)</f>
        <v>0.71961967541542482</v>
      </c>
      <c r="O11" s="19">
        <f>STDEV(M11:M13)</f>
        <v>1.4707747044483854E-2</v>
      </c>
      <c r="P11" s="4"/>
      <c r="Q11" s="14">
        <v>1.270808623318898</v>
      </c>
      <c r="R11" s="12">
        <f>AVERAGE(Q11:Q13)</f>
        <v>1.306211096093552</v>
      </c>
      <c r="S11" s="12">
        <f>STDEV(Q11:Q13)</f>
        <v>3.1766296116945966E-2</v>
      </c>
      <c r="T11" s="4"/>
      <c r="U11" s="14">
        <v>6.4942398693344972</v>
      </c>
      <c r="V11" s="12">
        <f>AVERAGE(U11:U13)</f>
        <v>6.6860161925935726</v>
      </c>
      <c r="W11" s="12">
        <f>STDEV(U11:U13)</f>
        <v>0.1682079669580139</v>
      </c>
      <c r="X11" s="21"/>
      <c r="Y11" s="16">
        <v>0</v>
      </c>
      <c r="Z11" s="12">
        <f>AVERAGE(Y11:Y13)</f>
        <v>0</v>
      </c>
      <c r="AA11" s="12">
        <f>STDEV(Y11:Y13)</f>
        <v>0</v>
      </c>
      <c r="AB11" s="21"/>
      <c r="AC11" s="14">
        <v>8.5333921587301695</v>
      </c>
      <c r="AD11" s="12">
        <f>AVERAGE(AC11:AC13)</f>
        <v>9.1615522135904595</v>
      </c>
      <c r="AE11" s="12">
        <f>STDEV(AC11:AC13)</f>
        <v>0.59410575896531492</v>
      </c>
      <c r="AF11" s="21"/>
      <c r="AG11" s="14">
        <v>4.8666710189740822E-2</v>
      </c>
      <c r="AH11" s="12">
        <f>AVERAGE(AG11:AG13)</f>
        <v>4.8856629058773964E-2</v>
      </c>
      <c r="AI11" s="12">
        <f>STDEV(AG11:AG13)</f>
        <v>2.1074055828310015E-3</v>
      </c>
      <c r="AJ11" s="15"/>
    </row>
    <row r="12" spans="1:36" ht="17" customHeight="1" x14ac:dyDescent="0.25">
      <c r="C12" t="s">
        <v>1</v>
      </c>
      <c r="D12">
        <v>1</v>
      </c>
      <c r="E12" s="14">
        <v>14.335858699063074</v>
      </c>
      <c r="F12" s="19"/>
      <c r="G12" s="19"/>
      <c r="H12" s="20"/>
      <c r="I12" s="14">
        <v>7.4538471861001598</v>
      </c>
      <c r="J12" s="19"/>
      <c r="K12" s="19"/>
      <c r="L12" s="20"/>
      <c r="M12" s="14">
        <v>0.72922472917625991</v>
      </c>
      <c r="N12" s="19"/>
      <c r="O12" s="19"/>
      <c r="P12" s="4"/>
      <c r="Q12" s="14">
        <v>1.3322247484996672</v>
      </c>
      <c r="R12" s="12"/>
      <c r="S12" s="12"/>
      <c r="T12" s="4"/>
      <c r="U12" s="14">
        <v>6.8085558368473729</v>
      </c>
      <c r="V12" s="12"/>
      <c r="W12" s="12"/>
      <c r="X12" s="21"/>
      <c r="Y12" s="16">
        <v>0</v>
      </c>
      <c r="Z12" s="12"/>
      <c r="AA12" s="12"/>
      <c r="AB12" s="21"/>
      <c r="AC12" s="14">
        <v>9.2368376390209068</v>
      </c>
      <c r="AD12" s="12"/>
      <c r="AE12" s="12"/>
      <c r="AF12" s="21"/>
      <c r="AG12" s="14">
        <v>4.6850611004611471E-2</v>
      </c>
      <c r="AH12" s="12"/>
      <c r="AI12" s="12"/>
      <c r="AJ12" s="7"/>
    </row>
    <row r="13" spans="1:36" ht="17" customHeight="1" x14ac:dyDescent="0.25">
      <c r="C13" t="s">
        <v>2</v>
      </c>
      <c r="D13">
        <v>1</v>
      </c>
      <c r="E13" s="14">
        <v>13.744116196709552</v>
      </c>
      <c r="F13" s="19"/>
      <c r="G13" s="19"/>
      <c r="H13" s="20"/>
      <c r="I13" s="14">
        <v>7.3453425436606583</v>
      </c>
      <c r="J13" s="19"/>
      <c r="K13" s="19"/>
      <c r="L13" s="20"/>
      <c r="M13" s="14">
        <v>0.72694665923466562</v>
      </c>
      <c r="N13" s="19"/>
      <c r="O13" s="19"/>
      <c r="P13" s="4"/>
      <c r="Q13" s="14">
        <v>1.3155999164620908</v>
      </c>
      <c r="R13" s="12"/>
      <c r="S13" s="12"/>
      <c r="T13" s="4"/>
      <c r="U13" s="14">
        <v>6.755252871598846</v>
      </c>
      <c r="V13" s="12"/>
      <c r="W13" s="12"/>
      <c r="X13" s="21"/>
      <c r="Y13" s="16">
        <v>0</v>
      </c>
      <c r="Z13" s="12"/>
      <c r="AA13" s="12"/>
      <c r="AB13" s="21"/>
      <c r="AC13" s="14">
        <v>9.7144268430202967</v>
      </c>
      <c r="AD13" s="12"/>
      <c r="AE13" s="12"/>
      <c r="AF13" s="21"/>
      <c r="AG13" s="14">
        <v>5.1052565981969583E-2</v>
      </c>
      <c r="AH13" s="12"/>
      <c r="AI13" s="12"/>
      <c r="AJ13" s="7"/>
    </row>
    <row r="14" spans="1:36" ht="17" customHeight="1" x14ac:dyDescent="0.25">
      <c r="E14" s="4"/>
      <c r="F14" s="19"/>
      <c r="G14" s="19"/>
      <c r="H14" s="20"/>
      <c r="I14" s="4"/>
      <c r="J14" s="19"/>
      <c r="K14" s="19"/>
      <c r="L14" s="20"/>
      <c r="M14" s="4"/>
      <c r="N14" s="19"/>
      <c r="O14" s="19"/>
      <c r="P14" s="4"/>
      <c r="Q14" s="4"/>
      <c r="R14" s="12"/>
      <c r="S14" s="12"/>
      <c r="T14" s="4"/>
      <c r="U14" s="4"/>
      <c r="V14" s="12"/>
      <c r="W14" s="12"/>
      <c r="X14" s="21"/>
      <c r="Y14" s="16"/>
      <c r="Z14" s="12"/>
      <c r="AA14" s="12"/>
      <c r="AB14" s="21"/>
      <c r="AC14" s="14"/>
      <c r="AD14" s="12"/>
      <c r="AE14" s="12"/>
      <c r="AF14" s="21"/>
      <c r="AG14" s="4"/>
      <c r="AH14" s="12"/>
      <c r="AI14" s="12"/>
      <c r="AJ14" s="7"/>
    </row>
    <row r="15" spans="1:36" ht="17" customHeight="1" x14ac:dyDescent="0.25">
      <c r="B15">
        <v>0.1</v>
      </c>
      <c r="C15" t="s">
        <v>0</v>
      </c>
      <c r="D15">
        <v>2</v>
      </c>
      <c r="E15" s="14">
        <v>4.9522571390146588</v>
      </c>
      <c r="F15" s="19">
        <f>AVERAGE(E15:E17)</f>
        <v>5.0275698211323796</v>
      </c>
      <c r="G15" s="19">
        <f>STDEV(E15:E17)</f>
        <v>0.26806379114536383</v>
      </c>
      <c r="H15" s="20"/>
      <c r="I15" s="14">
        <v>5.2519953224147073</v>
      </c>
      <c r="J15" s="19">
        <f>AVERAGE(I15:I17)</f>
        <v>5.87047604441576</v>
      </c>
      <c r="K15" s="19">
        <f>STDEV(I15:I17)</f>
        <v>0.56542723458389077</v>
      </c>
      <c r="L15" s="20"/>
      <c r="M15" s="14">
        <v>0.17180040229745783</v>
      </c>
      <c r="N15" s="19">
        <f>AVERAGE(M15:M17)</f>
        <v>0.21212708722099713</v>
      </c>
      <c r="O15" s="19">
        <f>STDEV(M15:M17)</f>
        <v>3.5458076880651446E-2</v>
      </c>
      <c r="P15" s="4"/>
      <c r="Q15" s="14">
        <v>1.7688994668547584</v>
      </c>
      <c r="R15" s="12">
        <f>AVERAGE(Q15:Q17)</f>
        <v>2.0205298352490573</v>
      </c>
      <c r="S15" s="12">
        <f>STDEV(Q15:Q17)</f>
        <v>0.22012326729676104</v>
      </c>
      <c r="T15" s="4"/>
      <c r="U15" s="14">
        <v>11.679935514569602</v>
      </c>
      <c r="V15" s="12">
        <f>AVERAGE(U15:U17)</f>
        <v>13.660052752247687</v>
      </c>
      <c r="W15" s="12">
        <f>STDEV(U15:U17)</f>
        <v>1.7213858699134743</v>
      </c>
      <c r="X15" s="21"/>
      <c r="Y15" s="16">
        <v>0</v>
      </c>
      <c r="Z15" s="12">
        <f>AVERAGE(Y15:Y17)</f>
        <v>0</v>
      </c>
      <c r="AA15" s="12">
        <f>STDEV(Y15:Y17)</f>
        <v>0</v>
      </c>
      <c r="AB15" s="21"/>
      <c r="AC15" s="14">
        <v>17.480143079251334</v>
      </c>
      <c r="AD15" s="12">
        <f>AVERAGE(AC15:AC17)</f>
        <v>20.247227389356564</v>
      </c>
      <c r="AE15" s="12">
        <f>STDEV(AC15:AC17)</f>
        <v>2.4214107877206836</v>
      </c>
      <c r="AF15" s="21"/>
      <c r="AG15" s="14">
        <v>5.3907283982123883E-2</v>
      </c>
      <c r="AH15" s="12">
        <f>AVERAGE(AG15:AG17)</f>
        <v>5.8520729842387119E-2</v>
      </c>
      <c r="AI15" s="12">
        <f>STDEV(AG15:AG17)</f>
        <v>3.9973048079178421E-3</v>
      </c>
      <c r="AJ15" s="15"/>
    </row>
    <row r="16" spans="1:36" ht="17" customHeight="1" x14ac:dyDescent="0.25">
      <c r="C16" t="s">
        <v>1</v>
      </c>
      <c r="D16">
        <v>2</v>
      </c>
      <c r="E16" s="14">
        <v>4.8052180929752994</v>
      </c>
      <c r="F16" s="19"/>
      <c r="G16" s="19"/>
      <c r="H16" s="20"/>
      <c r="I16" s="14">
        <v>6.360876983340896</v>
      </c>
      <c r="J16" s="19"/>
      <c r="K16" s="19"/>
      <c r="L16" s="20"/>
      <c r="M16" s="14">
        <v>0.22615902866975265</v>
      </c>
      <c r="N16" s="19"/>
      <c r="O16" s="19"/>
      <c r="P16" s="4"/>
      <c r="Q16" s="14">
        <v>2.1152665529185071</v>
      </c>
      <c r="R16" s="12"/>
      <c r="S16" s="12"/>
      <c r="T16" s="4"/>
      <c r="U16" s="14">
        <v>14.50004103116115</v>
      </c>
      <c r="V16" s="12"/>
      <c r="W16" s="12"/>
      <c r="X16" s="21"/>
      <c r="Y16" s="16">
        <v>0</v>
      </c>
      <c r="Z16" s="12"/>
      <c r="AA16" s="12"/>
      <c r="AB16" s="21"/>
      <c r="AC16" s="14">
        <v>21.283402996700293</v>
      </c>
      <c r="AD16" s="12"/>
      <c r="AE16" s="12"/>
      <c r="AF16" s="21"/>
      <c r="AG16" s="14">
        <v>6.0952087030321733E-2</v>
      </c>
      <c r="AH16" s="12"/>
      <c r="AI16" s="12"/>
      <c r="AJ16" s="7"/>
    </row>
    <row r="17" spans="2:36" ht="17" customHeight="1" x14ac:dyDescent="0.25">
      <c r="C17" t="s">
        <v>2</v>
      </c>
      <c r="D17">
        <v>2</v>
      </c>
      <c r="E17" s="14">
        <v>5.3252342314071814</v>
      </c>
      <c r="F17" s="19"/>
      <c r="G17" s="19"/>
      <c r="H17" s="20"/>
      <c r="I17" s="14">
        <v>5.9985558274916775</v>
      </c>
      <c r="J17" s="19"/>
      <c r="K17" s="19"/>
      <c r="L17" s="20"/>
      <c r="M17" s="14">
        <v>0.23842183069578082</v>
      </c>
      <c r="N17" s="19"/>
      <c r="O17" s="19"/>
      <c r="P17" s="4"/>
      <c r="Q17" s="14">
        <v>2.1774234859739066</v>
      </c>
      <c r="R17" s="12"/>
      <c r="S17" s="12"/>
      <c r="T17" s="4"/>
      <c r="U17" s="14">
        <v>14.800181711012305</v>
      </c>
      <c r="V17" s="12"/>
      <c r="W17" s="12"/>
      <c r="X17" s="21"/>
      <c r="Y17" s="16">
        <v>0</v>
      </c>
      <c r="Z17" s="12"/>
      <c r="AA17" s="12"/>
      <c r="AB17" s="21"/>
      <c r="AC17" s="14">
        <v>21.978136092118071</v>
      </c>
      <c r="AD17" s="12"/>
      <c r="AE17" s="12"/>
      <c r="AF17" s="21"/>
      <c r="AG17" s="14">
        <v>6.0702818514715741E-2</v>
      </c>
      <c r="AH17" s="12"/>
      <c r="AI17" s="12"/>
      <c r="AJ17" s="7"/>
    </row>
    <row r="18" spans="2:36" ht="17" customHeight="1" x14ac:dyDescent="0.25">
      <c r="E18" s="4"/>
      <c r="F18" s="19"/>
      <c r="G18" s="19"/>
      <c r="H18" s="20"/>
      <c r="I18" s="4" t="s">
        <v>5</v>
      </c>
      <c r="J18" s="19"/>
      <c r="K18" s="19"/>
      <c r="L18" s="20"/>
      <c r="M18" s="4" t="s">
        <v>5</v>
      </c>
      <c r="N18" s="19"/>
      <c r="O18" s="19"/>
      <c r="P18" s="4"/>
      <c r="Q18" s="4" t="s">
        <v>5</v>
      </c>
      <c r="R18" s="12"/>
      <c r="S18" s="12"/>
      <c r="T18" s="4"/>
      <c r="U18" s="4" t="s">
        <v>5</v>
      </c>
      <c r="V18" s="12"/>
      <c r="W18" s="12"/>
      <c r="X18" s="21"/>
      <c r="Y18" s="16" t="s">
        <v>5</v>
      </c>
      <c r="Z18" s="12"/>
      <c r="AA18" s="12"/>
      <c r="AB18" s="21"/>
      <c r="AC18" s="14" t="s">
        <v>5</v>
      </c>
      <c r="AD18" s="12"/>
      <c r="AE18" s="12"/>
      <c r="AF18" s="21"/>
      <c r="AG18" s="4" t="s">
        <v>5</v>
      </c>
      <c r="AH18" s="12"/>
      <c r="AI18" s="12"/>
      <c r="AJ18" s="7"/>
    </row>
    <row r="19" spans="2:36" ht="17" customHeight="1" x14ac:dyDescent="0.25">
      <c r="B19">
        <v>0.1</v>
      </c>
      <c r="C19" t="s">
        <v>0</v>
      </c>
      <c r="D19">
        <v>3</v>
      </c>
      <c r="E19" s="14">
        <v>3.9261218451607114</v>
      </c>
      <c r="F19" s="19">
        <f>AVERAGE(E19:E21)</f>
        <v>3.9569044096770813</v>
      </c>
      <c r="G19" s="19">
        <f>STDEV(E19:E21)</f>
        <v>4.7984459464126557E-2</v>
      </c>
      <c r="H19" s="20"/>
      <c r="I19" s="14">
        <v>5.0627192618105834</v>
      </c>
      <c r="J19" s="19">
        <f>AVERAGE(I19:I21)</f>
        <v>4.9830341680991248</v>
      </c>
      <c r="K19" s="19">
        <f>STDEV(I19:I21)</f>
        <v>6.9599169190531454E-2</v>
      </c>
      <c r="L19" s="20"/>
      <c r="M19" s="14">
        <v>0.15192787727504065</v>
      </c>
      <c r="N19" s="19">
        <f>AVERAGE(M19:M21)</f>
        <v>0.15671828676215174</v>
      </c>
      <c r="O19" s="19">
        <f>STDEV(M19:M21)</f>
        <v>4.5244687221683783E-3</v>
      </c>
      <c r="P19" s="4"/>
      <c r="Q19" s="14">
        <v>1.6497121488550972</v>
      </c>
      <c r="R19" s="12">
        <f>AVERAGE(Q19:Q21)</f>
        <v>1.7070393823448675</v>
      </c>
      <c r="S19" s="12">
        <f>STDEV(Q19:Q21)</f>
        <v>7.8977688409891542E-2</v>
      </c>
      <c r="T19" s="4"/>
      <c r="U19" s="14">
        <v>11.389115571811086</v>
      </c>
      <c r="V19" s="12">
        <f>AVERAGE(U19:U21)</f>
        <v>11.797318547330022</v>
      </c>
      <c r="W19" s="12">
        <f>STDEV(U19:U21)</f>
        <v>0.51974440883688122</v>
      </c>
      <c r="X19" s="21"/>
      <c r="Y19" s="16">
        <v>0</v>
      </c>
      <c r="Z19" s="12">
        <f>AVERAGE(Y19:Y21)</f>
        <v>0</v>
      </c>
      <c r="AA19" s="12">
        <f>STDEV(Y19:Y21)</f>
        <v>0</v>
      </c>
      <c r="AB19" s="21"/>
      <c r="AC19" s="14">
        <v>15.609064357182698</v>
      </c>
      <c r="AD19" s="12">
        <f>AVERAGE(AC19:AC21)</f>
        <v>16.333977230986537</v>
      </c>
      <c r="AE19" s="12">
        <f>STDEV(AC19:AC21)</f>
        <v>0.98797436904643832</v>
      </c>
      <c r="AF19" s="21"/>
      <c r="AG19" s="14">
        <v>4.4316381095950576E-2</v>
      </c>
      <c r="AH19" s="12">
        <f>AVERAGE(AG19:AG21)</f>
        <v>4.5523157242931961E-2</v>
      </c>
      <c r="AI19" s="12">
        <f>STDEV(AG19:AG21)</f>
        <v>1.4818090645142021E-3</v>
      </c>
      <c r="AJ19" s="15"/>
    </row>
    <row r="20" spans="2:36" ht="17" customHeight="1" x14ac:dyDescent="0.25">
      <c r="C20" t="s">
        <v>1</v>
      </c>
      <c r="D20">
        <v>3</v>
      </c>
      <c r="E20" s="14">
        <v>4.012193481866678</v>
      </c>
      <c r="F20" s="19"/>
      <c r="G20" s="19"/>
      <c r="H20" s="20"/>
      <c r="I20" s="14">
        <v>4.9341495677067693</v>
      </c>
      <c r="J20" s="19"/>
      <c r="K20" s="19"/>
      <c r="L20" s="20"/>
      <c r="M20" s="14">
        <v>0.15730799990306091</v>
      </c>
      <c r="N20" s="19"/>
      <c r="O20" s="19"/>
      <c r="P20" s="4"/>
      <c r="Q20" s="14">
        <v>1.6742809632078559</v>
      </c>
      <c r="R20" s="12"/>
      <c r="S20" s="12"/>
      <c r="T20" s="4"/>
      <c r="U20" s="14">
        <v>11.620418724592646</v>
      </c>
      <c r="V20" s="12"/>
      <c r="W20" s="12"/>
      <c r="X20" s="21"/>
      <c r="Y20" s="16">
        <v>0</v>
      </c>
      <c r="Z20" s="12"/>
      <c r="AA20" s="12"/>
      <c r="AB20" s="21"/>
      <c r="AC20" s="14">
        <v>15.933564512700102</v>
      </c>
      <c r="AD20" s="12"/>
      <c r="AE20" s="12"/>
      <c r="AF20" s="21"/>
      <c r="AG20" s="14">
        <v>4.507605657208312E-2</v>
      </c>
      <c r="AH20" s="12"/>
      <c r="AI20" s="12"/>
      <c r="AJ20" s="7"/>
    </row>
    <row r="21" spans="2:36" ht="17" customHeight="1" x14ac:dyDescent="0.25">
      <c r="C21" t="s">
        <v>2</v>
      </c>
      <c r="D21">
        <v>3</v>
      </c>
      <c r="E21" s="14">
        <v>3.9323979020038551</v>
      </c>
      <c r="F21" s="19"/>
      <c r="G21" s="19"/>
      <c r="H21" s="20"/>
      <c r="I21" s="14">
        <v>4.95223367478002</v>
      </c>
      <c r="J21" s="19"/>
      <c r="K21" s="19"/>
      <c r="L21" s="20"/>
      <c r="M21" s="14">
        <v>0.16091898310835376</v>
      </c>
      <c r="N21" s="19"/>
      <c r="O21" s="19"/>
      <c r="P21" s="4"/>
      <c r="Q21" s="14">
        <v>1.7971250349716485</v>
      </c>
      <c r="R21" s="12"/>
      <c r="S21" s="12"/>
      <c r="T21" s="4"/>
      <c r="U21" s="14">
        <v>12.382421345586337</v>
      </c>
      <c r="V21" s="12"/>
      <c r="W21" s="12"/>
      <c r="X21" s="21"/>
      <c r="Y21" s="16">
        <v>0</v>
      </c>
      <c r="Z21" s="12"/>
      <c r="AA21" s="12"/>
      <c r="AB21" s="21"/>
      <c r="AC21" s="14">
        <v>17.459302823076818</v>
      </c>
      <c r="AD21" s="12"/>
      <c r="AE21" s="12"/>
      <c r="AF21" s="21"/>
      <c r="AG21" s="14">
        <v>4.7177034060762173E-2</v>
      </c>
      <c r="AH21" s="12"/>
      <c r="AI21" s="12"/>
      <c r="AJ21" s="7"/>
    </row>
    <row r="22" spans="2:36" ht="17" customHeight="1" x14ac:dyDescent="0.25">
      <c r="E22" s="4"/>
      <c r="F22" s="19"/>
      <c r="G22" s="19"/>
      <c r="H22" s="20"/>
      <c r="I22" s="4" t="s">
        <v>5</v>
      </c>
      <c r="J22" s="19"/>
      <c r="K22" s="19"/>
      <c r="L22" s="20"/>
      <c r="M22" s="4" t="s">
        <v>5</v>
      </c>
      <c r="N22" s="19"/>
      <c r="O22" s="19"/>
      <c r="P22" s="4"/>
      <c r="Q22" s="4" t="s">
        <v>5</v>
      </c>
      <c r="R22" s="12"/>
      <c r="S22" s="12"/>
      <c r="T22" s="4"/>
      <c r="U22" s="4" t="s">
        <v>5</v>
      </c>
      <c r="V22" s="12"/>
      <c r="W22" s="12"/>
      <c r="X22" s="21"/>
      <c r="Y22" s="16" t="s">
        <v>5</v>
      </c>
      <c r="Z22" s="12"/>
      <c r="AA22" s="12"/>
      <c r="AB22" s="21"/>
      <c r="AC22" s="14" t="s">
        <v>5</v>
      </c>
      <c r="AD22" s="12"/>
      <c r="AE22" s="12"/>
      <c r="AF22" s="21"/>
      <c r="AG22" s="4" t="s">
        <v>5</v>
      </c>
      <c r="AH22" s="12"/>
      <c r="AI22" s="12"/>
      <c r="AJ22" s="7"/>
    </row>
    <row r="23" spans="2:36" ht="17" customHeight="1" x14ac:dyDescent="0.25">
      <c r="B23">
        <v>0.1</v>
      </c>
      <c r="C23" t="s">
        <v>0</v>
      </c>
      <c r="D23">
        <v>4</v>
      </c>
      <c r="E23" s="14">
        <v>3.3675527861209487</v>
      </c>
      <c r="F23" s="19">
        <f>AVERAGE(E23:E25)</f>
        <v>3.213490533614261</v>
      </c>
      <c r="G23" s="19">
        <f>STDEV(E23:E25)</f>
        <v>0.2888573984229113</v>
      </c>
      <c r="H23" s="20"/>
      <c r="I23" s="14">
        <v>4.4815995808065647</v>
      </c>
      <c r="J23" s="19">
        <f>AVERAGE(I23:I25)</f>
        <v>4.2370061750089993</v>
      </c>
      <c r="K23" s="19">
        <f>STDEV(I23:I25)</f>
        <v>0.28934310469826113</v>
      </c>
      <c r="L23" s="20"/>
      <c r="M23" s="14">
        <v>9.4854954802122998E-2</v>
      </c>
      <c r="N23" s="19">
        <f>AVERAGE(M23:M25)</f>
        <v>0.10028354700336865</v>
      </c>
      <c r="O23" s="19">
        <f>STDEV(M23:M25)</f>
        <v>2.7069638294280041E-2</v>
      </c>
      <c r="P23" s="4"/>
      <c r="Q23" s="14">
        <v>1.3579165960666257</v>
      </c>
      <c r="R23" s="12">
        <f>AVERAGE(Q23:Q25)</f>
        <v>0.93866662463501427</v>
      </c>
      <c r="S23" s="12">
        <f>STDEV(Q23:Q25)</f>
        <v>0.66665640108775837</v>
      </c>
      <c r="T23" s="4"/>
      <c r="U23" s="14">
        <v>9.529434339806869</v>
      </c>
      <c r="V23" s="12">
        <f>AVERAGE(U23:U25)</f>
        <v>10.025968559902806</v>
      </c>
      <c r="W23" s="12">
        <f>STDEV(U23:U25)</f>
        <v>1.2180962448878672</v>
      </c>
      <c r="X23" s="21"/>
      <c r="Y23" s="16">
        <v>0</v>
      </c>
      <c r="Z23" s="12">
        <f>AVERAGE(Y23:Y25)</f>
        <v>0</v>
      </c>
      <c r="AA23" s="12">
        <f>STDEV(Y23:Y25)</f>
        <v>0</v>
      </c>
      <c r="AB23" s="21"/>
      <c r="AC23" s="14">
        <v>12.545546699528433</v>
      </c>
      <c r="AD23" s="12">
        <f>AVERAGE(AC23:AC25)</f>
        <v>13.389113957792567</v>
      </c>
      <c r="AE23" s="12">
        <f>STDEV(AC23:AC25)</f>
        <v>2.1707355892143116</v>
      </c>
      <c r="AF23" s="21"/>
      <c r="AG23" s="14">
        <v>3.7212228401179867E-2</v>
      </c>
      <c r="AH23" s="12">
        <f>AVERAGE(AG23:AG25)</f>
        <v>3.8432852799028243E-2</v>
      </c>
      <c r="AI23" s="12">
        <f>STDEV(AG23:AG25)</f>
        <v>5.0410680517490531E-3</v>
      </c>
      <c r="AJ23" s="18"/>
    </row>
    <row r="24" spans="2:36" ht="17" customHeight="1" x14ac:dyDescent="0.25">
      <c r="C24" t="s">
        <v>1</v>
      </c>
      <c r="D24">
        <v>4</v>
      </c>
      <c r="E24" s="14">
        <v>3.3926570134935217</v>
      </c>
      <c r="F24" s="19"/>
      <c r="G24" s="19"/>
      <c r="H24" s="20"/>
      <c r="I24" s="14">
        <v>3.9176054852994739</v>
      </c>
      <c r="J24" s="19"/>
      <c r="K24" s="19"/>
      <c r="L24" s="20"/>
      <c r="M24" s="14">
        <v>7.6339577830017213E-2</v>
      </c>
      <c r="N24" s="19"/>
      <c r="O24" s="19"/>
      <c r="P24" s="4"/>
      <c r="Q24" s="14">
        <v>1.2881506204265949</v>
      </c>
      <c r="R24" s="12"/>
      <c r="S24" s="12"/>
      <c r="T24" s="4"/>
      <c r="U24" s="14">
        <v>9.1345651965176788</v>
      </c>
      <c r="V24" s="12"/>
      <c r="W24" s="12"/>
      <c r="X24" s="21"/>
      <c r="Y24" s="16">
        <v>0</v>
      </c>
      <c r="Z24" s="12"/>
      <c r="AA24" s="12"/>
      <c r="AB24" s="21"/>
      <c r="AC24" s="14">
        <v>11.766786849007005</v>
      </c>
      <c r="AD24" s="12"/>
      <c r="AE24" s="12"/>
      <c r="AF24" s="21"/>
      <c r="AG24" s="14">
        <v>3.4114176850076852E-2</v>
      </c>
      <c r="AH24" s="12"/>
      <c r="AI24" s="12"/>
      <c r="AJ24" s="18"/>
    </row>
    <row r="25" spans="2:36" ht="17" customHeight="1" x14ac:dyDescent="0.25">
      <c r="C25" t="s">
        <v>2</v>
      </c>
      <c r="D25">
        <v>4</v>
      </c>
      <c r="E25" s="14">
        <v>2.8802618012283139</v>
      </c>
      <c r="F25" s="19"/>
      <c r="G25" s="19"/>
      <c r="H25" s="20"/>
      <c r="I25" s="14">
        <v>4.3118134589209607</v>
      </c>
      <c r="J25" s="19"/>
      <c r="K25" s="19"/>
      <c r="L25" s="20"/>
      <c r="M25" s="14">
        <v>0.12965610837796576</v>
      </c>
      <c r="N25" s="19"/>
      <c r="O25" s="19"/>
      <c r="P25" s="4"/>
      <c r="Q25" s="14">
        <v>0.1699326574118222</v>
      </c>
      <c r="R25" s="12"/>
      <c r="S25" s="12"/>
      <c r="T25" s="4"/>
      <c r="U25" s="14">
        <v>11.413906143383867</v>
      </c>
      <c r="V25" s="12"/>
      <c r="W25" s="12"/>
      <c r="X25" s="21"/>
      <c r="Y25" s="16">
        <v>0</v>
      </c>
      <c r="Z25" s="12"/>
      <c r="AA25" s="12"/>
      <c r="AB25" s="21"/>
      <c r="AC25" s="14">
        <v>15.855008324842263</v>
      </c>
      <c r="AD25" s="12"/>
      <c r="AE25" s="12"/>
      <c r="AF25" s="21"/>
      <c r="AG25" s="14">
        <v>4.3972153145828016E-2</v>
      </c>
      <c r="AH25" s="12"/>
      <c r="AI25" s="12"/>
      <c r="AJ25" s="18"/>
    </row>
    <row r="26" spans="2:36" ht="17" customHeight="1" x14ac:dyDescent="0.25">
      <c r="E26" s="4"/>
      <c r="F26" s="19"/>
      <c r="G26" s="19"/>
      <c r="H26" s="20"/>
      <c r="I26" s="4" t="s">
        <v>5</v>
      </c>
      <c r="J26" s="19"/>
      <c r="K26" s="19"/>
      <c r="L26" s="20"/>
      <c r="M26" s="4" t="s">
        <v>5</v>
      </c>
      <c r="N26" s="19"/>
      <c r="O26" s="19"/>
      <c r="P26" s="4"/>
      <c r="Q26" s="4" t="s">
        <v>5</v>
      </c>
      <c r="R26" s="12"/>
      <c r="S26" s="12"/>
      <c r="T26" s="4"/>
      <c r="U26" s="4" t="s">
        <v>5</v>
      </c>
      <c r="V26" s="12"/>
      <c r="W26" s="12"/>
      <c r="X26" s="21"/>
      <c r="Y26" s="16" t="s">
        <v>5</v>
      </c>
      <c r="Z26" s="12"/>
      <c r="AA26" s="12"/>
      <c r="AB26" s="21"/>
      <c r="AC26" s="14" t="s">
        <v>5</v>
      </c>
      <c r="AD26" s="12"/>
      <c r="AE26" s="12"/>
      <c r="AF26" s="21"/>
      <c r="AG26" s="4" t="s">
        <v>5</v>
      </c>
      <c r="AH26" s="12"/>
      <c r="AI26" s="12"/>
      <c r="AJ26" s="18"/>
    </row>
    <row r="27" spans="2:36" ht="17" customHeight="1" x14ac:dyDescent="0.25">
      <c r="B27">
        <v>0.1</v>
      </c>
      <c r="C27" t="s">
        <v>0</v>
      </c>
      <c r="D27">
        <v>5</v>
      </c>
      <c r="E27" s="14">
        <v>2.957815932218586</v>
      </c>
      <c r="F27" s="19">
        <f>AVERAGE(E27:E29)</f>
        <v>2.9912882353820174</v>
      </c>
      <c r="G27" s="19">
        <f>STDEV(E27:E29)</f>
        <v>7.6947125764528071E-2</v>
      </c>
      <c r="H27" s="20"/>
      <c r="I27" s="14">
        <v>3.3600015336345224</v>
      </c>
      <c r="J27" s="19">
        <f>AVERAGE(I27:I29)</f>
        <v>3.269304092035112</v>
      </c>
      <c r="K27" s="19">
        <f>STDEV(I27:I29)</f>
        <v>8.7432518951115173E-2</v>
      </c>
      <c r="L27" s="20"/>
      <c r="M27" s="16">
        <v>0</v>
      </c>
      <c r="N27" s="19">
        <f>AVERAGE(M27:M29)</f>
        <v>0</v>
      </c>
      <c r="O27" s="19">
        <f>STDEV(M27:M29)</f>
        <v>0</v>
      </c>
      <c r="P27" s="4"/>
      <c r="Q27" s="14">
        <v>0.93641267727177802</v>
      </c>
      <c r="R27" s="12">
        <f>AVERAGE(Q27:Q29)</f>
        <v>0.92010833658421909</v>
      </c>
      <c r="S27" s="12">
        <f>STDEV(Q27:Q29)</f>
        <v>2.3315511739698879E-2</v>
      </c>
      <c r="T27" s="4"/>
      <c r="U27" s="14">
        <v>6.8868435556914491</v>
      </c>
      <c r="V27" s="12">
        <f>AVERAGE(U27:U29)</f>
        <v>6.8074446841615623</v>
      </c>
      <c r="W27" s="12">
        <f>STDEV(U27:U29)</f>
        <v>0.13467416276848121</v>
      </c>
      <c r="X27" s="21"/>
      <c r="Y27" s="16">
        <v>0</v>
      </c>
      <c r="Z27" s="12">
        <f>AVERAGE(Y27:Y29)</f>
        <v>0</v>
      </c>
      <c r="AA27" s="12">
        <f>STDEV(Y27:Y29)</f>
        <v>0</v>
      </c>
      <c r="AB27" s="21"/>
      <c r="AC27" s="14">
        <v>7.9480414634283738</v>
      </c>
      <c r="AD27" s="12">
        <f>AVERAGE(AC27:AC29)</f>
        <v>7.8415631916033783</v>
      </c>
      <c r="AE27" s="12">
        <f>STDEV(AC27:AC29)</f>
        <v>0.16143707806632149</v>
      </c>
      <c r="AF27" s="21"/>
      <c r="AG27" s="14">
        <v>2.5633112354815926E-2</v>
      </c>
      <c r="AH27" s="12">
        <f>AVERAGE(AG27:AG29)</f>
        <v>2.4926851560598956E-2</v>
      </c>
      <c r="AI27" s="12">
        <f>STDEV(AG27:AG29)</f>
        <v>9.4556113212249202E-4</v>
      </c>
      <c r="AJ27" s="18"/>
    </row>
    <row r="28" spans="2:36" ht="17" customHeight="1" x14ac:dyDescent="0.25">
      <c r="C28" t="s">
        <v>1</v>
      </c>
      <c r="D28">
        <v>5</v>
      </c>
      <c r="E28" s="14">
        <v>2.9367463128166045</v>
      </c>
      <c r="F28" s="19"/>
      <c r="G28" s="19"/>
      <c r="H28" s="20"/>
      <c r="I28" s="14">
        <v>3.1855506067441581</v>
      </c>
      <c r="J28" s="19"/>
      <c r="K28" s="19"/>
      <c r="L28" s="20"/>
      <c r="M28" s="16">
        <v>0</v>
      </c>
      <c r="N28" s="19"/>
      <c r="O28" s="19"/>
      <c r="P28" s="4"/>
      <c r="Q28" s="14">
        <v>0.93050985707924683</v>
      </c>
      <c r="R28" s="12"/>
      <c r="S28" s="12"/>
      <c r="T28" s="4"/>
      <c r="U28" s="14">
        <v>6.8835424613044713</v>
      </c>
      <c r="V28" s="12"/>
      <c r="W28" s="12"/>
      <c r="X28" s="21"/>
      <c r="Y28" s="16">
        <v>0</v>
      </c>
      <c r="Z28" s="12"/>
      <c r="AA28" s="12"/>
      <c r="AB28" s="21"/>
      <c r="AC28" s="14">
        <v>7.9208333512005291</v>
      </c>
      <c r="AD28" s="12"/>
      <c r="AE28" s="12"/>
      <c r="AF28" s="21"/>
      <c r="AG28" s="14">
        <v>2.5294819369350657E-2</v>
      </c>
      <c r="AH28" s="12"/>
      <c r="AI28" s="12"/>
      <c r="AJ28" s="18"/>
    </row>
    <row r="29" spans="2:36" ht="17" customHeight="1" x14ac:dyDescent="0.25">
      <c r="C29" t="s">
        <v>2</v>
      </c>
      <c r="D29">
        <v>5</v>
      </c>
      <c r="E29" s="14">
        <v>3.0793024611108621</v>
      </c>
      <c r="F29" s="19"/>
      <c r="G29" s="19"/>
      <c r="H29" s="20"/>
      <c r="I29" s="14">
        <v>3.2623601357266558</v>
      </c>
      <c r="J29" s="19"/>
      <c r="K29" s="19"/>
      <c r="L29" s="20"/>
      <c r="M29" s="16">
        <v>0</v>
      </c>
      <c r="N29" s="19"/>
      <c r="O29" s="19"/>
      <c r="P29" s="4"/>
      <c r="Q29" s="14">
        <v>0.8934024754016322</v>
      </c>
      <c r="R29" s="12"/>
      <c r="S29" s="12"/>
      <c r="T29" s="4"/>
      <c r="U29" s="14">
        <v>6.6519480354887648</v>
      </c>
      <c r="V29" s="12"/>
      <c r="W29" s="12"/>
      <c r="X29" s="21"/>
      <c r="Y29" s="16">
        <v>0</v>
      </c>
      <c r="Z29" s="12"/>
      <c r="AA29" s="12"/>
      <c r="AB29" s="21"/>
      <c r="AC29" s="14">
        <v>7.6558147601812321</v>
      </c>
      <c r="AD29" s="12"/>
      <c r="AE29" s="12"/>
      <c r="AF29" s="21"/>
      <c r="AG29" s="14">
        <v>2.3852622957630285E-2</v>
      </c>
      <c r="AH29" s="12"/>
      <c r="AI29" s="12"/>
      <c r="AJ29" s="18"/>
    </row>
    <row r="30" spans="2:36" ht="17" customHeight="1" x14ac:dyDescent="0.25">
      <c r="E30" s="4"/>
      <c r="F30" s="19"/>
      <c r="G30" s="19"/>
      <c r="H30" s="20"/>
      <c r="I30" s="4" t="s">
        <v>5</v>
      </c>
      <c r="J30" s="19"/>
      <c r="K30" s="19"/>
      <c r="L30" s="20"/>
      <c r="M30" s="16" t="s">
        <v>5</v>
      </c>
      <c r="N30" s="19"/>
      <c r="O30" s="19"/>
      <c r="P30" s="4"/>
      <c r="Q30" s="4" t="s">
        <v>5</v>
      </c>
      <c r="R30" s="12"/>
      <c r="S30" s="12"/>
      <c r="T30" s="4"/>
      <c r="U30" s="4" t="s">
        <v>5</v>
      </c>
      <c r="V30" s="12"/>
      <c r="W30" s="12"/>
      <c r="X30" s="21"/>
      <c r="Y30" s="16" t="s">
        <v>5</v>
      </c>
      <c r="Z30" s="12"/>
      <c r="AA30" s="12"/>
      <c r="AB30" s="21"/>
      <c r="AC30" s="14" t="s">
        <v>5</v>
      </c>
      <c r="AD30" s="12"/>
      <c r="AE30" s="12"/>
      <c r="AF30" s="21"/>
      <c r="AG30" s="4" t="s">
        <v>5</v>
      </c>
      <c r="AH30" s="12"/>
      <c r="AI30" s="12"/>
      <c r="AJ30" s="18"/>
    </row>
    <row r="31" spans="2:36" ht="17" customHeight="1" x14ac:dyDescent="0.25">
      <c r="B31">
        <v>0.1</v>
      </c>
      <c r="C31" t="s">
        <v>0</v>
      </c>
      <c r="D31">
        <v>6</v>
      </c>
      <c r="E31" s="14">
        <v>2.4117989868651097</v>
      </c>
      <c r="F31" s="19">
        <f>AVERAGE(E31:E33)</f>
        <v>2.4259948297246008</v>
      </c>
      <c r="G31" s="19">
        <f>STDEV(E31:E33)</f>
        <v>0.12589868015195935</v>
      </c>
      <c r="H31" s="20"/>
      <c r="I31" s="14">
        <v>2.8650848930609429</v>
      </c>
      <c r="J31" s="19">
        <f>AVERAGE(I31:I33)</f>
        <v>2.8183303406159674</v>
      </c>
      <c r="K31" s="19">
        <f>STDEV(I31:I33)</f>
        <v>0.25989751465486138</v>
      </c>
      <c r="L31" s="20"/>
      <c r="M31" s="16">
        <v>0</v>
      </c>
      <c r="N31" s="19">
        <f>AVERAGE(M31:M33)</f>
        <v>0</v>
      </c>
      <c r="O31" s="19">
        <f>STDEV(M31:M33)</f>
        <v>0</v>
      </c>
      <c r="P31" s="4"/>
      <c r="Q31" s="14">
        <v>0.94689038013689197</v>
      </c>
      <c r="R31" s="12">
        <f>AVERAGE(Q31:Q33)</f>
        <v>0.88847820461796534</v>
      </c>
      <c r="S31" s="12">
        <f>STDEV(Q31:Q33)</f>
        <v>6.2087460708704433E-2</v>
      </c>
      <c r="T31" s="4"/>
      <c r="U31" s="14">
        <v>6.9887891176421855</v>
      </c>
      <c r="V31" s="12">
        <f>AVERAGE(U31:U33)</f>
        <v>6.6322061965078278</v>
      </c>
      <c r="W31" s="12">
        <f>STDEV(U31:U33)</f>
        <v>0.37590841672461861</v>
      </c>
      <c r="X31" s="21"/>
      <c r="Y31" s="16">
        <v>0</v>
      </c>
      <c r="Z31" s="12">
        <f>AVERAGE(Y31:Y33)</f>
        <v>0</v>
      </c>
      <c r="AA31" s="12">
        <f>STDEV(Y31:Y33)</f>
        <v>0</v>
      </c>
      <c r="AB31" s="21"/>
      <c r="AC31" s="14">
        <v>8.1153713536296141</v>
      </c>
      <c r="AD31" s="12">
        <f>AVERAGE(AC31:AC33)</f>
        <v>7.4869025542334073</v>
      </c>
      <c r="AE31" s="12">
        <f>STDEV(AC31:AC33)</f>
        <v>0.62707927433479849</v>
      </c>
      <c r="AF31" s="21"/>
      <c r="AG31" s="14">
        <v>2.5431323556468224E-2</v>
      </c>
      <c r="AH31" s="12">
        <f>AVERAGE(AG31:AG33)</f>
        <v>2.3237364954825031E-2</v>
      </c>
      <c r="AI31" s="12">
        <f>STDEV(AG31:AG33)</f>
        <v>2.3622526227167961E-3</v>
      </c>
      <c r="AJ31" s="18"/>
    </row>
    <row r="32" spans="2:36" ht="17" customHeight="1" x14ac:dyDescent="0.25">
      <c r="C32" t="s">
        <v>1</v>
      </c>
      <c r="D32">
        <v>6</v>
      </c>
      <c r="E32" s="14">
        <v>2.3077957591787328</v>
      </c>
      <c r="F32" s="19"/>
      <c r="G32" s="19"/>
      <c r="H32" s="20"/>
      <c r="I32" s="14">
        <v>2.5382290355355903</v>
      </c>
      <c r="J32" s="19"/>
      <c r="K32" s="19"/>
      <c r="L32" s="20"/>
      <c r="M32" s="16">
        <v>0</v>
      </c>
      <c r="N32" s="19"/>
      <c r="O32" s="19"/>
      <c r="P32" s="4"/>
      <c r="Q32" s="14">
        <v>0.89527025695788054</v>
      </c>
      <c r="R32" s="4"/>
      <c r="S32" s="4"/>
      <c r="T32" s="4"/>
      <c r="U32" s="14">
        <v>6.6682593254008822</v>
      </c>
      <c r="V32" s="4"/>
      <c r="W32" s="4"/>
      <c r="X32" s="21"/>
      <c r="Y32" s="16">
        <v>0</v>
      </c>
      <c r="Z32" s="4"/>
      <c r="AA32" s="4"/>
      <c r="AB32" s="21"/>
      <c r="AC32" s="14">
        <v>7.4841142051433893</v>
      </c>
      <c r="AD32" s="4"/>
      <c r="AE32" s="4"/>
      <c r="AF32" s="21"/>
      <c r="AG32" s="14">
        <v>2.3544004795451445E-2</v>
      </c>
      <c r="AJ32" s="7"/>
    </row>
    <row r="33" spans="1:36" ht="17" customHeight="1" x14ac:dyDescent="0.25">
      <c r="C33" t="s">
        <v>2</v>
      </c>
      <c r="D33">
        <v>6</v>
      </c>
      <c r="E33" s="14">
        <v>2.5583897431299589</v>
      </c>
      <c r="F33" s="19"/>
      <c r="G33" s="19"/>
      <c r="H33" s="20"/>
      <c r="I33" s="14">
        <v>3.051677093251369</v>
      </c>
      <c r="J33" s="19"/>
      <c r="K33" s="19"/>
      <c r="L33" s="20"/>
      <c r="M33" s="16">
        <v>0</v>
      </c>
      <c r="N33" s="19"/>
      <c r="O33" s="19"/>
      <c r="P33" s="4"/>
      <c r="Q33" s="14">
        <v>0.82327397675912328</v>
      </c>
      <c r="R33" s="4"/>
      <c r="S33" s="4"/>
      <c r="T33" s="4"/>
      <c r="U33" s="14">
        <v>6.2395701464804159</v>
      </c>
      <c r="V33" s="4"/>
      <c r="W33" s="4"/>
      <c r="X33" s="21"/>
      <c r="Y33" s="16">
        <v>0</v>
      </c>
      <c r="Z33" s="4"/>
      <c r="AA33" s="4"/>
      <c r="AB33" s="21"/>
      <c r="AC33" s="14">
        <v>6.8612221039272168</v>
      </c>
      <c r="AD33" s="4"/>
      <c r="AE33" s="4"/>
      <c r="AF33" s="21"/>
      <c r="AG33" s="14">
        <v>2.0736766512555418E-2</v>
      </c>
      <c r="AJ33" s="7"/>
    </row>
    <row r="34" spans="1:36" x14ac:dyDescent="0.2">
      <c r="E34"/>
      <c r="F34"/>
      <c r="G34"/>
      <c r="H34"/>
      <c r="I34"/>
    </row>
    <row r="35" spans="1:36" ht="16" x14ac:dyDescent="0.2">
      <c r="A35" s="1"/>
      <c r="E35"/>
      <c r="F35"/>
      <c r="G35"/>
      <c r="H35"/>
      <c r="I35"/>
      <c r="J35"/>
      <c r="M35" s="17" t="s">
        <v>13</v>
      </c>
      <c r="Y35" s="17" t="s">
        <v>14</v>
      </c>
    </row>
    <row r="36" spans="1:36" x14ac:dyDescent="0.2">
      <c r="E36"/>
      <c r="F36"/>
      <c r="G36"/>
      <c r="H36"/>
      <c r="I36"/>
    </row>
    <row r="37" spans="1:36" x14ac:dyDescent="0.2">
      <c r="E37"/>
      <c r="F37"/>
      <c r="G37"/>
      <c r="H37"/>
      <c r="I37"/>
    </row>
    <row r="38" spans="1:36" x14ac:dyDescent="0.2">
      <c r="E38"/>
      <c r="F38"/>
      <c r="G38"/>
      <c r="H38"/>
      <c r="I38"/>
    </row>
    <row r="39" spans="1:36" x14ac:dyDescent="0.2">
      <c r="E39"/>
      <c r="F39"/>
      <c r="G39"/>
      <c r="H39"/>
      <c r="I39"/>
    </row>
    <row r="40" spans="1:36" x14ac:dyDescent="0.2">
      <c r="E40"/>
      <c r="F40"/>
      <c r="G40"/>
      <c r="H40"/>
      <c r="I40"/>
    </row>
    <row r="41" spans="1:36" x14ac:dyDescent="0.2">
      <c r="E41"/>
      <c r="F41"/>
      <c r="G41"/>
      <c r="H41"/>
      <c r="I41"/>
    </row>
    <row r="42" spans="1:36" x14ac:dyDescent="0.2">
      <c r="E42"/>
      <c r="F42"/>
      <c r="G42"/>
      <c r="H42"/>
      <c r="I42"/>
    </row>
    <row r="43" spans="1:36" x14ac:dyDescent="0.2">
      <c r="E43"/>
      <c r="F43"/>
      <c r="G43"/>
      <c r="H43"/>
      <c r="I43"/>
    </row>
    <row r="44" spans="1:36" x14ac:dyDescent="0.2">
      <c r="E44"/>
      <c r="F44"/>
      <c r="G44"/>
      <c r="H44"/>
      <c r="I44"/>
    </row>
    <row r="45" spans="1:36" x14ac:dyDescent="0.2">
      <c r="E45"/>
      <c r="F45"/>
      <c r="G45"/>
      <c r="H45"/>
      <c r="I45"/>
    </row>
    <row r="46" spans="1:36" x14ac:dyDescent="0.2">
      <c r="E46"/>
      <c r="F46"/>
      <c r="G46"/>
      <c r="H46"/>
      <c r="I46"/>
    </row>
    <row r="47" spans="1:36" x14ac:dyDescent="0.2">
      <c r="E47"/>
      <c r="F47"/>
      <c r="G47"/>
      <c r="H47"/>
      <c r="I47"/>
    </row>
    <row r="48" spans="1:36" x14ac:dyDescent="0.2">
      <c r="E48"/>
      <c r="F48"/>
      <c r="G48"/>
      <c r="H48"/>
      <c r="I48"/>
    </row>
    <row r="49" spans="5:9" x14ac:dyDescent="0.2">
      <c r="E49"/>
      <c r="F49"/>
      <c r="G49"/>
      <c r="H49"/>
      <c r="I49"/>
    </row>
    <row r="50" spans="5:9" x14ac:dyDescent="0.2">
      <c r="E50"/>
      <c r="F50"/>
      <c r="G50"/>
      <c r="H50"/>
      <c r="I50"/>
    </row>
    <row r="51" spans="5:9" x14ac:dyDescent="0.2">
      <c r="E51"/>
      <c r="F51"/>
      <c r="G51"/>
      <c r="H51"/>
      <c r="I51"/>
    </row>
    <row r="52" spans="5:9" x14ac:dyDescent="0.2">
      <c r="E52"/>
      <c r="F52"/>
      <c r="G52"/>
      <c r="H52"/>
      <c r="I52"/>
    </row>
    <row r="53" spans="5:9" x14ac:dyDescent="0.2">
      <c r="E53"/>
      <c r="F53"/>
      <c r="G53"/>
      <c r="H53"/>
      <c r="I53"/>
    </row>
    <row r="54" spans="5:9" x14ac:dyDescent="0.2">
      <c r="E54"/>
      <c r="F54"/>
      <c r="G54"/>
      <c r="H54"/>
      <c r="I54"/>
    </row>
    <row r="55" spans="5:9" x14ac:dyDescent="0.2">
      <c r="E55"/>
      <c r="F55"/>
      <c r="G55"/>
      <c r="H55"/>
      <c r="I55"/>
    </row>
    <row r="56" spans="5:9" x14ac:dyDescent="0.2">
      <c r="E56"/>
      <c r="F56"/>
      <c r="G56"/>
      <c r="H56"/>
      <c r="I56"/>
    </row>
    <row r="57" spans="5:9" x14ac:dyDescent="0.2">
      <c r="E57"/>
      <c r="F57"/>
      <c r="G57"/>
      <c r="H57"/>
      <c r="I57"/>
    </row>
    <row r="58" spans="5:9" x14ac:dyDescent="0.2">
      <c r="E58"/>
      <c r="F58"/>
      <c r="G58"/>
      <c r="H58"/>
      <c r="I58"/>
    </row>
    <row r="59" spans="5:9" x14ac:dyDescent="0.2">
      <c r="E59"/>
      <c r="F59"/>
      <c r="G59"/>
      <c r="H59"/>
      <c r="I59"/>
    </row>
    <row r="60" spans="5:9" x14ac:dyDescent="0.2">
      <c r="E60"/>
      <c r="F60"/>
      <c r="G60"/>
      <c r="H60"/>
      <c r="I60"/>
    </row>
    <row r="61" spans="5:9" x14ac:dyDescent="0.2">
      <c r="E61"/>
      <c r="F61"/>
      <c r="G61"/>
      <c r="H61"/>
      <c r="I61"/>
    </row>
    <row r="62" spans="5:9" x14ac:dyDescent="0.2">
      <c r="E62"/>
      <c r="F62"/>
      <c r="G62"/>
      <c r="H62"/>
      <c r="I62"/>
    </row>
    <row r="63" spans="5:9" x14ac:dyDescent="0.2">
      <c r="E63"/>
      <c r="F63"/>
      <c r="G63"/>
      <c r="H63"/>
      <c r="I63"/>
    </row>
    <row r="64" spans="5:9" x14ac:dyDescent="0.2">
      <c r="E64"/>
      <c r="F64"/>
      <c r="G64"/>
      <c r="H64"/>
      <c r="I64"/>
    </row>
    <row r="65" spans="5:9" x14ac:dyDescent="0.2">
      <c r="E65"/>
      <c r="F65"/>
      <c r="G65"/>
      <c r="H65"/>
      <c r="I65"/>
    </row>
    <row r="66" spans="5:9" x14ac:dyDescent="0.2">
      <c r="E66"/>
      <c r="F66"/>
      <c r="G66"/>
      <c r="H66"/>
      <c r="I66"/>
    </row>
    <row r="67" spans="5:9" x14ac:dyDescent="0.2">
      <c r="E67"/>
      <c r="F67"/>
      <c r="G67"/>
      <c r="H67"/>
      <c r="I67"/>
    </row>
    <row r="68" spans="5:9" x14ac:dyDescent="0.2">
      <c r="E68"/>
      <c r="F68"/>
      <c r="G68"/>
      <c r="H68"/>
      <c r="I68"/>
    </row>
    <row r="69" spans="5:9" x14ac:dyDescent="0.2">
      <c r="E69"/>
      <c r="F69"/>
      <c r="G69"/>
      <c r="H69"/>
      <c r="I69"/>
    </row>
    <row r="70" spans="5:9" x14ac:dyDescent="0.2">
      <c r="E70"/>
      <c r="F70"/>
      <c r="G70"/>
      <c r="H70"/>
      <c r="I70"/>
    </row>
    <row r="71" spans="5:9" x14ac:dyDescent="0.2">
      <c r="E71"/>
      <c r="F71"/>
      <c r="G71"/>
      <c r="H71"/>
      <c r="I71"/>
    </row>
    <row r="72" spans="5:9" x14ac:dyDescent="0.2">
      <c r="E72"/>
      <c r="F72"/>
      <c r="G72"/>
      <c r="H72"/>
      <c r="I72"/>
    </row>
    <row r="73" spans="5:9" x14ac:dyDescent="0.2">
      <c r="E73"/>
      <c r="F73"/>
      <c r="G73"/>
      <c r="H73"/>
      <c r="I73"/>
    </row>
    <row r="74" spans="5:9" x14ac:dyDescent="0.2">
      <c r="E74"/>
      <c r="F74"/>
      <c r="G74"/>
      <c r="H74"/>
      <c r="I74"/>
    </row>
    <row r="75" spans="5:9" x14ac:dyDescent="0.2">
      <c r="E75"/>
      <c r="F75"/>
      <c r="G75"/>
      <c r="H75"/>
      <c r="I75"/>
    </row>
    <row r="76" spans="5:9" x14ac:dyDescent="0.2">
      <c r="E76"/>
      <c r="F76"/>
      <c r="G76"/>
      <c r="H76"/>
      <c r="I76"/>
    </row>
    <row r="77" spans="5:9" x14ac:dyDescent="0.2">
      <c r="E77"/>
      <c r="F77"/>
      <c r="G77"/>
      <c r="H77"/>
      <c r="I77"/>
    </row>
    <row r="78" spans="5:9" x14ac:dyDescent="0.2">
      <c r="E78"/>
      <c r="F78"/>
      <c r="G78"/>
      <c r="H78"/>
      <c r="I78"/>
    </row>
    <row r="79" spans="5:9" x14ac:dyDescent="0.2">
      <c r="E79"/>
      <c r="F79"/>
      <c r="G79"/>
      <c r="H79"/>
      <c r="I79"/>
    </row>
    <row r="80" spans="5:9" x14ac:dyDescent="0.2">
      <c r="E80"/>
      <c r="F80"/>
      <c r="G80"/>
      <c r="H80"/>
      <c r="I80"/>
    </row>
    <row r="81" spans="5:9" x14ac:dyDescent="0.2">
      <c r="E81"/>
      <c r="F81"/>
      <c r="G81"/>
      <c r="H81"/>
      <c r="I81"/>
    </row>
    <row r="82" spans="5:9" x14ac:dyDescent="0.2">
      <c r="E82"/>
      <c r="F82"/>
      <c r="G82"/>
      <c r="H82"/>
      <c r="I82"/>
    </row>
    <row r="83" spans="5:9" x14ac:dyDescent="0.2">
      <c r="E83"/>
      <c r="F83"/>
      <c r="G83"/>
      <c r="H83"/>
      <c r="I83"/>
    </row>
    <row r="84" spans="5:9" x14ac:dyDescent="0.2">
      <c r="E84"/>
      <c r="F84"/>
      <c r="G84"/>
      <c r="H84"/>
      <c r="I84"/>
    </row>
    <row r="85" spans="5:9" x14ac:dyDescent="0.2">
      <c r="E85"/>
      <c r="F85"/>
      <c r="G85"/>
      <c r="H85"/>
      <c r="I85"/>
    </row>
    <row r="86" spans="5:9" x14ac:dyDescent="0.2">
      <c r="E86"/>
      <c r="F86"/>
      <c r="G86"/>
      <c r="H86"/>
      <c r="I86"/>
    </row>
    <row r="87" spans="5:9" x14ac:dyDescent="0.2">
      <c r="E87"/>
      <c r="F87"/>
      <c r="G87"/>
      <c r="H87"/>
      <c r="I87"/>
    </row>
    <row r="88" spans="5:9" x14ac:dyDescent="0.2">
      <c r="E88"/>
      <c r="F88"/>
      <c r="G88"/>
      <c r="H88"/>
      <c r="I88"/>
    </row>
    <row r="89" spans="5:9" x14ac:dyDescent="0.2">
      <c r="E89"/>
      <c r="F89"/>
      <c r="G89"/>
      <c r="H89"/>
      <c r="I89"/>
    </row>
  </sheetData>
  <printOptions gridLines="1"/>
  <pageMargins left="0.25" right="0.25" top="0.75" bottom="0.75" header="0.3" footer="0.3"/>
  <pageSetup paperSize="17" scale="44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4F6B3-C9E8-405E-B12B-58DA4B2E09E5}">
  <sheetPr>
    <pageSetUpPr fitToPage="1"/>
  </sheetPr>
  <dimension ref="A4:AJ44"/>
  <sheetViews>
    <sheetView workbookViewId="0">
      <selection activeCell="Z15" sqref="Z15:AA15"/>
    </sheetView>
  </sheetViews>
  <sheetFormatPr baseColWidth="10" defaultColWidth="8.83203125" defaultRowHeight="15" x14ac:dyDescent="0.2"/>
  <cols>
    <col min="2" max="2" width="7.5" customWidth="1"/>
    <col min="3" max="4" width="3.5" customWidth="1"/>
    <col min="5" max="5" width="9.5" style="3" customWidth="1"/>
    <col min="6" max="6" width="13.1640625" style="3" customWidth="1"/>
    <col min="7" max="7" width="9.5" style="3" customWidth="1"/>
    <col min="8" max="8" width="2.5" style="5" customWidth="1"/>
    <col min="9" max="9" width="12.33203125" style="5" customWidth="1"/>
    <col min="10" max="11" width="8.33203125" style="5" customWidth="1"/>
    <col min="12" max="12" width="2.5" style="5" customWidth="1"/>
    <col min="13" max="13" width="10.5" style="5" customWidth="1"/>
    <col min="14" max="15" width="7.83203125" style="5" customWidth="1"/>
    <col min="16" max="16" width="2" customWidth="1"/>
    <col min="20" max="20" width="2.33203125" customWidth="1"/>
    <col min="22" max="23" width="9.1640625" style="8"/>
    <col min="24" max="24" width="2" customWidth="1"/>
    <col min="28" max="28" width="1.5" customWidth="1"/>
    <col min="30" max="31" width="9.1640625" style="8"/>
    <col min="32" max="32" width="1.5" customWidth="1"/>
    <col min="34" max="35" width="9.1640625" style="4"/>
    <col min="36" max="36" width="1.83203125" style="5" customWidth="1"/>
  </cols>
  <sheetData>
    <row r="4" spans="1:36" x14ac:dyDescent="0.2">
      <c r="E4" s="3" t="s">
        <v>5</v>
      </c>
    </row>
    <row r="6" spans="1:36" x14ac:dyDescent="0.2">
      <c r="B6" s="2" t="s">
        <v>9</v>
      </c>
    </row>
    <row r="7" spans="1:36" x14ac:dyDescent="0.2">
      <c r="E7" s="6" t="s">
        <v>5</v>
      </c>
      <c r="F7" s="6"/>
      <c r="G7" s="6"/>
      <c r="H7" s="7"/>
      <c r="I7" s="7" t="s">
        <v>5</v>
      </c>
      <c r="J7" s="7"/>
      <c r="K7" s="7"/>
      <c r="L7" s="7"/>
      <c r="M7" s="7" t="s">
        <v>5</v>
      </c>
    </row>
    <row r="8" spans="1:36" ht="16" x14ac:dyDescent="0.2">
      <c r="A8" s="1"/>
      <c r="E8" t="s">
        <v>15</v>
      </c>
      <c r="I8" t="s">
        <v>16</v>
      </c>
      <c r="J8" s="7"/>
      <c r="K8" s="7"/>
      <c r="M8" t="s">
        <v>17</v>
      </c>
      <c r="Q8" t="s">
        <v>18</v>
      </c>
      <c r="R8" s="9"/>
      <c r="S8" s="9"/>
      <c r="U8" t="s">
        <v>19</v>
      </c>
      <c r="V8" s="10"/>
      <c r="W8" s="10"/>
      <c r="Y8" t="s">
        <v>20</v>
      </c>
      <c r="Z8" s="9"/>
      <c r="AA8" s="9"/>
      <c r="AC8" s="11" t="s">
        <v>21</v>
      </c>
      <c r="AD8" s="10"/>
      <c r="AE8" s="10"/>
      <c r="AG8" t="s">
        <v>22</v>
      </c>
      <c r="AH8" s="12"/>
      <c r="AI8" s="12"/>
    </row>
    <row r="9" spans="1:36" s="13" customFormat="1" ht="17" customHeight="1" x14ac:dyDescent="0.25">
      <c r="A9" s="1"/>
      <c r="B9"/>
      <c r="C9"/>
      <c r="D9"/>
      <c r="E9" t="s">
        <v>12</v>
      </c>
      <c r="F9" s="6" t="s">
        <v>3</v>
      </c>
      <c r="G9" s="6" t="s">
        <v>4</v>
      </c>
      <c r="H9" s="5" t="s">
        <v>5</v>
      </c>
      <c r="I9" t="s">
        <v>12</v>
      </c>
      <c r="J9" s="7" t="s">
        <v>3</v>
      </c>
      <c r="K9" s="7" t="s">
        <v>4</v>
      </c>
      <c r="L9" s="5" t="s">
        <v>5</v>
      </c>
      <c r="M9" t="s">
        <v>12</v>
      </c>
      <c r="N9" s="7" t="s">
        <v>3</v>
      </c>
      <c r="O9" s="7" t="s">
        <v>4</v>
      </c>
      <c r="P9"/>
      <c r="Q9" t="s">
        <v>12</v>
      </c>
      <c r="R9" s="9" t="s">
        <v>3</v>
      </c>
      <c r="S9" s="9" t="s">
        <v>4</v>
      </c>
      <c r="T9"/>
      <c r="U9" t="s">
        <v>12</v>
      </c>
      <c r="V9" s="10" t="s">
        <v>3</v>
      </c>
      <c r="W9" s="10" t="s">
        <v>4</v>
      </c>
      <c r="Y9" t="s">
        <v>12</v>
      </c>
      <c r="Z9" s="9" t="s">
        <v>3</v>
      </c>
      <c r="AA9" s="9" t="s">
        <v>4</v>
      </c>
      <c r="AC9" s="11" t="s">
        <v>12</v>
      </c>
      <c r="AD9" s="10" t="s">
        <v>3</v>
      </c>
      <c r="AE9" s="10" t="s">
        <v>4</v>
      </c>
      <c r="AG9" t="s">
        <v>12</v>
      </c>
      <c r="AH9" s="12" t="s">
        <v>3</v>
      </c>
      <c r="AI9" s="12" t="s">
        <v>4</v>
      </c>
      <c r="AJ9" s="7"/>
    </row>
    <row r="10" spans="1:36" ht="17" customHeight="1" x14ac:dyDescent="0.25">
      <c r="E10"/>
      <c r="F10" s="6"/>
      <c r="G10" s="6"/>
      <c r="I10"/>
      <c r="J10" s="7"/>
      <c r="K10" s="7"/>
      <c r="M10"/>
      <c r="N10" s="7"/>
      <c r="O10" s="7"/>
      <c r="X10" s="13"/>
      <c r="AB10" s="13"/>
      <c r="AC10" s="11"/>
      <c r="AF10" s="13"/>
      <c r="AJ10" s="7"/>
    </row>
    <row r="11" spans="1:36" ht="17" customHeight="1" x14ac:dyDescent="0.25">
      <c r="B11">
        <v>1</v>
      </c>
      <c r="C11" t="s">
        <v>0</v>
      </c>
      <c r="D11">
        <v>1</v>
      </c>
      <c r="E11" s="14">
        <v>139.78864333212184</v>
      </c>
      <c r="F11" s="19">
        <f>AVERAGE(E11:E13)</f>
        <v>138.55879122612464</v>
      </c>
      <c r="G11" s="19">
        <f>STDEV(E11:E13)</f>
        <v>1.5666310571190565</v>
      </c>
      <c r="H11" s="20"/>
      <c r="I11" s="14">
        <v>9.6012550242505963</v>
      </c>
      <c r="J11" s="19">
        <f>AVERAGE(I11:I13)</f>
        <v>9.1651703079836331</v>
      </c>
      <c r="K11" s="19">
        <f>STDEV(I11:I13)</f>
        <v>0.42102902041804691</v>
      </c>
      <c r="L11" s="20"/>
      <c r="M11" s="14">
        <v>3.9692945253617045</v>
      </c>
      <c r="N11" s="19">
        <f>AVERAGE(M11:M13)</f>
        <v>4.0580503921996307</v>
      </c>
      <c r="O11" s="19">
        <f>STDEV(M11:M13)</f>
        <v>9.2313557632792184E-2</v>
      </c>
      <c r="P11" s="4"/>
      <c r="Q11" s="14">
        <v>2.6144134417224576</v>
      </c>
      <c r="R11" s="12">
        <f>AVERAGE(Q11:Q13)</f>
        <v>2.6469262383903982</v>
      </c>
      <c r="S11" s="12">
        <f>STDEV(Q11:Q13)</f>
        <v>4.1597586993901238E-2</v>
      </c>
      <c r="T11" s="4"/>
      <c r="U11" s="14">
        <v>1.4625305681506946</v>
      </c>
      <c r="V11" s="12">
        <f>AVERAGE(U11:U13)</f>
        <v>1.4328099307777549</v>
      </c>
      <c r="W11" s="12">
        <f>STDEV(U11:U13)</f>
        <v>2.6358065500811236E-2</v>
      </c>
      <c r="X11" s="21"/>
      <c r="Y11" s="14">
        <v>0.68316831683168333</v>
      </c>
      <c r="Z11" s="12">
        <f>AVERAGE(Y11:Y13)</f>
        <v>0.58745874587458768</v>
      </c>
      <c r="AA11" s="12">
        <f>STDEV(Y11:Y13)</f>
        <v>9.9174780206711013E-2</v>
      </c>
      <c r="AB11" s="21"/>
      <c r="AC11" s="16">
        <v>0</v>
      </c>
      <c r="AD11" s="12">
        <f>AVERAGE(AC11:AC13)</f>
        <v>0</v>
      </c>
      <c r="AE11" s="12">
        <f>STDEV(AC11:AC13)</f>
        <v>0</v>
      </c>
      <c r="AF11" s="21"/>
      <c r="AG11" s="14">
        <v>8.9155039081742271E-2</v>
      </c>
      <c r="AH11" s="12">
        <f>AVERAGE(AG11:AG13)</f>
        <v>7.3253290443322072E-2</v>
      </c>
      <c r="AI11" s="12">
        <f>STDEV(AG11:AG13)</f>
        <v>1.4298245491571823E-2</v>
      </c>
      <c r="AJ11" s="15"/>
    </row>
    <row r="12" spans="1:36" ht="17" customHeight="1" x14ac:dyDescent="0.25">
      <c r="C12" t="s">
        <v>1</v>
      </c>
      <c r="D12">
        <v>1</v>
      </c>
      <c r="E12" s="14">
        <v>139.0927475505523</v>
      </c>
      <c r="F12" s="19"/>
      <c r="G12" s="19"/>
      <c r="H12" s="20"/>
      <c r="I12" s="14">
        <v>9.1332408892524182</v>
      </c>
      <c r="J12" s="19"/>
      <c r="K12" s="19"/>
      <c r="L12" s="20"/>
      <c r="M12" s="14">
        <v>4.153551607978093</v>
      </c>
      <c r="N12" s="19"/>
      <c r="O12" s="19"/>
      <c r="P12" s="4"/>
      <c r="Q12" s="14">
        <v>2.6938020387978421</v>
      </c>
      <c r="R12" s="12"/>
      <c r="S12" s="12"/>
      <c r="T12" s="4"/>
      <c r="U12" s="14">
        <v>1.4236294362571118</v>
      </c>
      <c r="V12" s="12"/>
      <c r="W12" s="12"/>
      <c r="X12" s="21"/>
      <c r="Y12" s="14">
        <v>0.59405940594059436</v>
      </c>
      <c r="Z12" s="12"/>
      <c r="AA12" s="12"/>
      <c r="AB12" s="21"/>
      <c r="AC12" s="16">
        <v>0</v>
      </c>
      <c r="AD12" s="12"/>
      <c r="AE12" s="12"/>
      <c r="AF12" s="21"/>
      <c r="AG12" s="14">
        <v>6.9148273222032958E-2</v>
      </c>
      <c r="AH12" s="12"/>
      <c r="AI12" s="12"/>
      <c r="AJ12" s="7"/>
    </row>
    <row r="13" spans="1:36" ht="17" customHeight="1" x14ac:dyDescent="0.25">
      <c r="C13" t="s">
        <v>2</v>
      </c>
      <c r="D13">
        <v>1</v>
      </c>
      <c r="E13" s="14">
        <v>136.79498279569975</v>
      </c>
      <c r="F13" s="19"/>
      <c r="G13" s="19"/>
      <c r="H13" s="20"/>
      <c r="I13" s="14">
        <v>8.7610150104478848</v>
      </c>
      <c r="J13" s="19"/>
      <c r="K13" s="19"/>
      <c r="L13" s="20"/>
      <c r="M13" s="14">
        <v>4.0513050432590951</v>
      </c>
      <c r="N13" s="19"/>
      <c r="O13" s="19"/>
      <c r="P13" s="4"/>
      <c r="Q13" s="14">
        <v>2.6325632346508945</v>
      </c>
      <c r="R13" s="12"/>
      <c r="S13" s="12"/>
      <c r="T13" s="4"/>
      <c r="U13" s="14">
        <v>1.4122697879254578</v>
      </c>
      <c r="V13" s="12"/>
      <c r="W13" s="12"/>
      <c r="X13" s="21"/>
      <c r="Y13" s="14">
        <v>0.4851485148514853</v>
      </c>
      <c r="Z13" s="12"/>
      <c r="AA13" s="12"/>
      <c r="AB13" s="21"/>
      <c r="AC13" s="16">
        <v>0</v>
      </c>
      <c r="AD13" s="12"/>
      <c r="AE13" s="12"/>
      <c r="AF13" s="21"/>
      <c r="AG13" s="14">
        <v>6.1456559026191002E-2</v>
      </c>
      <c r="AH13" s="12"/>
      <c r="AI13" s="12"/>
      <c r="AJ13" s="7"/>
    </row>
    <row r="14" spans="1:36" ht="17" customHeight="1" x14ac:dyDescent="0.25">
      <c r="E14" s="4"/>
      <c r="F14" s="19"/>
      <c r="G14" s="19"/>
      <c r="H14" s="20"/>
      <c r="I14" s="4"/>
      <c r="J14" s="19"/>
      <c r="K14" s="19"/>
      <c r="L14" s="20"/>
      <c r="M14" s="4"/>
      <c r="N14" s="19"/>
      <c r="O14" s="19"/>
      <c r="P14" s="4"/>
      <c r="Q14" s="4"/>
      <c r="R14" s="12"/>
      <c r="S14" s="12"/>
      <c r="T14" s="4"/>
      <c r="U14" s="4"/>
      <c r="V14" s="12"/>
      <c r="W14" s="12"/>
      <c r="X14" s="21"/>
      <c r="Y14" s="14"/>
      <c r="Z14" s="12"/>
      <c r="AA14" s="12"/>
      <c r="AB14" s="21"/>
      <c r="AC14" s="14"/>
      <c r="AD14" s="12"/>
      <c r="AE14" s="12"/>
      <c r="AF14" s="21"/>
      <c r="AG14" s="4"/>
      <c r="AH14" s="12"/>
      <c r="AI14" s="12"/>
      <c r="AJ14" s="7"/>
    </row>
    <row r="15" spans="1:36" ht="17" customHeight="1" x14ac:dyDescent="0.25">
      <c r="B15">
        <v>1</v>
      </c>
      <c r="C15" t="s">
        <v>0</v>
      </c>
      <c r="D15">
        <v>2</v>
      </c>
      <c r="E15" s="14">
        <v>16.273815394270855</v>
      </c>
      <c r="F15" s="19">
        <f>AVERAGE(E15:E17)</f>
        <v>16.735553862016406</v>
      </c>
      <c r="G15" s="19">
        <f>STDEV(E15:E17)</f>
        <v>0.65669770001215721</v>
      </c>
      <c r="H15" s="20"/>
      <c r="I15" s="14">
        <v>5.3541737224504926</v>
      </c>
      <c r="J15" s="19">
        <f>AVERAGE(I15:I17)</f>
        <v>5.2108001951123928</v>
      </c>
      <c r="K15" s="19">
        <f>STDEV(I15:I17)</f>
        <v>0.16643865773153646</v>
      </c>
      <c r="L15" s="20"/>
      <c r="M15" s="14">
        <v>7.6800038775658608E-2</v>
      </c>
      <c r="N15" s="19">
        <f>AVERAGE(M15:M17)</f>
        <v>0.10672192198014369</v>
      </c>
      <c r="O15" s="19">
        <f>STDEV(M15:M17)</f>
        <v>4.1036803124211575E-2</v>
      </c>
      <c r="P15" s="4"/>
      <c r="Q15" s="14">
        <v>1.9224358393392627</v>
      </c>
      <c r="R15" s="12">
        <f>AVERAGE(Q15:Q17)</f>
        <v>1.9619495331202856</v>
      </c>
      <c r="S15" s="12">
        <f>STDEV(Q15:Q17)</f>
        <v>0.16648329488722344</v>
      </c>
      <c r="T15" s="4"/>
      <c r="U15" s="14">
        <v>13.860017084133283</v>
      </c>
      <c r="V15" s="12">
        <f>AVERAGE(U15:U17)</f>
        <v>14.129142579793074</v>
      </c>
      <c r="W15" s="12">
        <f>STDEV(U15:U17)</f>
        <v>1.1393615335999421</v>
      </c>
      <c r="X15" s="21"/>
      <c r="Y15" s="14">
        <v>0.4851485148514853</v>
      </c>
      <c r="Z15" s="12">
        <f>AVERAGE(Y15:Y17)</f>
        <v>0.45874587458745869</v>
      </c>
      <c r="AA15" s="12">
        <f>STDEV(Y15:Y17)</f>
        <v>3.0248024389147546E-2</v>
      </c>
      <c r="AB15" s="21"/>
      <c r="AC15" s="14">
        <v>20.84882576586109</v>
      </c>
      <c r="AD15" s="12">
        <f>AVERAGE(AC15:AC17)</f>
        <v>21.325112453849574</v>
      </c>
      <c r="AE15" s="12">
        <f>STDEV(AC15:AC17)</f>
        <v>1.9366580118919867</v>
      </c>
      <c r="AF15" s="21"/>
      <c r="AG15" s="14">
        <v>7.1201770993453734E-2</v>
      </c>
      <c r="AH15" s="12">
        <f>AVERAGE(AG15:AG17)</f>
        <v>7.1696351381560858E-2</v>
      </c>
      <c r="AI15" s="12">
        <f>STDEV(AG15:AG17)</f>
        <v>4.9386942225981018E-3</v>
      </c>
      <c r="AJ15" s="15"/>
    </row>
    <row r="16" spans="1:36" ht="17" customHeight="1" x14ac:dyDescent="0.25">
      <c r="C16" t="s">
        <v>1</v>
      </c>
      <c r="D16">
        <v>2</v>
      </c>
      <c r="E16" s="14">
        <v>17.487335813870082</v>
      </c>
      <c r="F16" s="19"/>
      <c r="G16" s="19"/>
      <c r="H16" s="20"/>
      <c r="I16" s="14">
        <v>5.0282763865014601</v>
      </c>
      <c r="J16" s="19"/>
      <c r="K16" s="19"/>
      <c r="L16" s="20"/>
      <c r="M16" s="14">
        <v>8.9862588759906034E-2</v>
      </c>
      <c r="N16" s="19"/>
      <c r="O16" s="19"/>
      <c r="P16" s="4"/>
      <c r="Q16" s="14">
        <v>1.8187779034349054</v>
      </c>
      <c r="R16" s="12"/>
      <c r="S16" s="12"/>
      <c r="T16" s="4"/>
      <c r="U16" s="14">
        <v>13.148437061717132</v>
      </c>
      <c r="V16" s="12"/>
      <c r="W16" s="12"/>
      <c r="X16" s="21"/>
      <c r="Y16" s="14">
        <v>0.42574257425742568</v>
      </c>
      <c r="Z16" s="12"/>
      <c r="AA16" s="12"/>
      <c r="AB16" s="21"/>
      <c r="AC16" s="14">
        <v>19.671032899198114</v>
      </c>
      <c r="AD16" s="12"/>
      <c r="AE16" s="12"/>
      <c r="AF16" s="21"/>
      <c r="AG16" s="14">
        <v>6.7023555874724777E-2</v>
      </c>
      <c r="AH16" s="12"/>
      <c r="AI16" s="12"/>
      <c r="AJ16" s="7"/>
    </row>
    <row r="17" spans="2:36" ht="17" customHeight="1" x14ac:dyDescent="0.25">
      <c r="C17" t="s">
        <v>2</v>
      </c>
      <c r="D17">
        <v>2</v>
      </c>
      <c r="E17" s="14">
        <v>16.445510377908278</v>
      </c>
      <c r="F17" s="19"/>
      <c r="G17" s="19"/>
      <c r="H17" s="20"/>
      <c r="I17" s="14">
        <v>5.2499504763852247</v>
      </c>
      <c r="J17" s="19"/>
      <c r="K17" s="19"/>
      <c r="L17" s="20"/>
      <c r="M17" s="14">
        <v>0.1535031384048664</v>
      </c>
      <c r="N17" s="19"/>
      <c r="O17" s="19"/>
      <c r="P17" s="4"/>
      <c r="Q17" s="14">
        <v>2.1446348565866886</v>
      </c>
      <c r="R17" s="12"/>
      <c r="S17" s="12"/>
      <c r="T17" s="4"/>
      <c r="U17" s="14">
        <v>15.378973593528809</v>
      </c>
      <c r="V17" s="12"/>
      <c r="W17" s="12"/>
      <c r="X17" s="21"/>
      <c r="Y17" s="14">
        <v>0.4653465346534652</v>
      </c>
      <c r="Z17" s="12"/>
      <c r="AA17" s="12"/>
      <c r="AB17" s="21"/>
      <c r="AC17" s="14">
        <v>23.455478696489518</v>
      </c>
      <c r="AD17" s="12"/>
      <c r="AE17" s="12"/>
      <c r="AF17" s="21"/>
      <c r="AG17" s="14">
        <v>7.6863727276504062E-2</v>
      </c>
      <c r="AH17" s="12"/>
      <c r="AI17" s="12"/>
      <c r="AJ17" s="7"/>
    </row>
    <row r="18" spans="2:36" ht="17" customHeight="1" x14ac:dyDescent="0.25">
      <c r="E18" s="4"/>
      <c r="F18" s="19"/>
      <c r="G18" s="19"/>
      <c r="H18" s="20"/>
      <c r="I18" s="4" t="s">
        <v>5</v>
      </c>
      <c r="J18" s="19"/>
      <c r="K18" s="19"/>
      <c r="L18" s="20"/>
      <c r="M18" s="4" t="s">
        <v>5</v>
      </c>
      <c r="N18" s="19"/>
      <c r="O18" s="19"/>
      <c r="P18" s="4"/>
      <c r="Q18" s="4" t="s">
        <v>5</v>
      </c>
      <c r="R18" s="12"/>
      <c r="S18" s="12"/>
      <c r="T18" s="4"/>
      <c r="U18" s="4" t="s">
        <v>5</v>
      </c>
      <c r="V18" s="12"/>
      <c r="W18" s="12"/>
      <c r="X18" s="21"/>
      <c r="Y18" s="16" t="s">
        <v>5</v>
      </c>
      <c r="Z18" s="12"/>
      <c r="AA18" s="12"/>
      <c r="AB18" s="21"/>
      <c r="AC18" s="14" t="s">
        <v>5</v>
      </c>
      <c r="AD18" s="12"/>
      <c r="AE18" s="12"/>
      <c r="AF18" s="21"/>
      <c r="AG18" s="4" t="s">
        <v>5</v>
      </c>
      <c r="AH18" s="12"/>
      <c r="AI18" s="12"/>
      <c r="AJ18" s="7"/>
    </row>
    <row r="19" spans="2:36" ht="17" customHeight="1" x14ac:dyDescent="0.25">
      <c r="B19">
        <v>1</v>
      </c>
      <c r="C19" t="s">
        <v>0</v>
      </c>
      <c r="D19">
        <v>3</v>
      </c>
      <c r="E19" s="14">
        <v>7.0574259201147616</v>
      </c>
      <c r="F19" s="19">
        <f>AVERAGE(E19:E21)</f>
        <v>6.9807683686735098</v>
      </c>
      <c r="G19" s="19">
        <f>STDEV(E19:E21)</f>
        <v>7.5561764826966651E-2</v>
      </c>
      <c r="H19" s="20"/>
      <c r="I19" s="14">
        <v>5.2385760203462182</v>
      </c>
      <c r="J19" s="19">
        <f>AVERAGE(I19:I21)</f>
        <v>5.3823968577532684</v>
      </c>
      <c r="K19" s="19">
        <f>STDEV(I19:I21)</f>
        <v>0.13797630684573783</v>
      </c>
      <c r="L19" s="20"/>
      <c r="M19" s="14">
        <v>0.14979521605312271</v>
      </c>
      <c r="N19" s="19">
        <f>AVERAGE(M19:M21)</f>
        <v>0.17835187294509214</v>
      </c>
      <c r="O19" s="19">
        <f>STDEV(M19:M21)</f>
        <v>2.6794538741712243E-2</v>
      </c>
      <c r="P19" s="4"/>
      <c r="Q19" s="14">
        <v>2.4580320517619798</v>
      </c>
      <c r="R19" s="12">
        <f>AVERAGE(Q19:Q21)</f>
        <v>2.4434943539669343</v>
      </c>
      <c r="S19" s="12">
        <f>STDEV(Q19:Q21)</f>
        <v>1.3226844568762943E-2</v>
      </c>
      <c r="T19" s="4"/>
      <c r="U19" s="14">
        <v>16.996704025169944</v>
      </c>
      <c r="V19" s="12">
        <f>AVERAGE(U19:U21)</f>
        <v>16.910152782468273</v>
      </c>
      <c r="W19" s="12">
        <f>STDEV(U19:U21)</f>
        <v>8.1022333190220425E-2</v>
      </c>
      <c r="X19" s="21"/>
      <c r="Y19" s="16">
        <v>0</v>
      </c>
      <c r="Z19" s="12">
        <f>AVERAGE(Y19:Y21)</f>
        <v>0</v>
      </c>
      <c r="AA19" s="12">
        <f>STDEV(Y19:Y21)</f>
        <v>0</v>
      </c>
      <c r="AB19" s="21"/>
      <c r="AC19" s="14">
        <v>24.877739345999696</v>
      </c>
      <c r="AD19" s="12">
        <f>AVERAGE(AC19:AC21)</f>
        <v>24.591253361467295</v>
      </c>
      <c r="AE19" s="12">
        <f>STDEV(AC19:AC21)</f>
        <v>0.32899380426792135</v>
      </c>
      <c r="AF19" s="21"/>
      <c r="AG19" s="14">
        <v>7.2738926839690674E-2</v>
      </c>
      <c r="AH19" s="12">
        <f>AVERAGE(AG19:AG21)</f>
        <v>7.2499549931846832E-2</v>
      </c>
      <c r="AI19" s="12">
        <f>STDEV(AG19:AG21)</f>
        <v>3.0072784704924071E-3</v>
      </c>
      <c r="AJ19" s="15"/>
    </row>
    <row r="20" spans="2:36" ht="17" customHeight="1" x14ac:dyDescent="0.25">
      <c r="C20" t="s">
        <v>1</v>
      </c>
      <c r="D20">
        <v>3</v>
      </c>
      <c r="E20" s="14">
        <v>6.9063522661048102</v>
      </c>
      <c r="F20" s="19"/>
      <c r="G20" s="19"/>
      <c r="H20" s="20"/>
      <c r="I20" s="14">
        <v>5.5136717127502539</v>
      </c>
      <c r="J20" s="19"/>
      <c r="K20" s="19"/>
      <c r="L20" s="20"/>
      <c r="M20" s="14">
        <v>0.18231829968737134</v>
      </c>
      <c r="N20" s="19"/>
      <c r="O20" s="19"/>
      <c r="P20" s="4"/>
      <c r="Q20" s="14">
        <v>2.4402802460427857</v>
      </c>
      <c r="R20" s="12"/>
      <c r="S20" s="12"/>
      <c r="T20" s="4"/>
      <c r="U20" s="14">
        <v>16.897638829890195</v>
      </c>
      <c r="V20" s="12"/>
      <c r="W20" s="12"/>
      <c r="X20" s="21"/>
      <c r="Y20" s="16">
        <v>0</v>
      </c>
      <c r="Z20" s="12"/>
      <c r="AA20" s="12"/>
      <c r="AB20" s="21"/>
      <c r="AC20" s="14">
        <v>24.664068830610397</v>
      </c>
      <c r="AD20" s="12"/>
      <c r="AE20" s="12"/>
      <c r="AF20" s="21"/>
      <c r="AG20" s="14">
        <v>7.5379986112182704E-2</v>
      </c>
      <c r="AH20" s="12"/>
      <c r="AI20" s="12"/>
      <c r="AJ20" s="7"/>
    </row>
    <row r="21" spans="2:36" ht="17" customHeight="1" x14ac:dyDescent="0.25">
      <c r="C21" t="s">
        <v>2</v>
      </c>
      <c r="D21">
        <v>3</v>
      </c>
      <c r="E21" s="14">
        <v>6.9785269198009594</v>
      </c>
      <c r="F21" s="19"/>
      <c r="G21" s="19"/>
      <c r="H21" s="20"/>
      <c r="I21" s="14">
        <v>5.394942840163333</v>
      </c>
      <c r="J21" s="19"/>
      <c r="K21" s="19"/>
      <c r="L21" s="20"/>
      <c r="M21" s="14">
        <v>0.20294210309478231</v>
      </c>
      <c r="N21" s="19"/>
      <c r="O21" s="19"/>
      <c r="P21" s="4"/>
      <c r="Q21" s="14">
        <v>2.4321707640960373</v>
      </c>
      <c r="R21" s="12"/>
      <c r="S21" s="12"/>
      <c r="T21" s="4"/>
      <c r="U21" s="14">
        <v>16.836115492344685</v>
      </c>
      <c r="V21" s="12"/>
      <c r="W21" s="12"/>
      <c r="X21" s="21"/>
      <c r="Y21" s="16">
        <v>0</v>
      </c>
      <c r="Z21" s="12"/>
      <c r="AA21" s="12"/>
      <c r="AB21" s="21"/>
      <c r="AC21" s="14">
        <v>24.231951907791792</v>
      </c>
      <c r="AD21" s="12"/>
      <c r="AE21" s="12"/>
      <c r="AF21" s="21"/>
      <c r="AG21" s="14">
        <v>6.9379736843667106E-2</v>
      </c>
      <c r="AH21" s="12"/>
      <c r="AI21" s="12"/>
      <c r="AJ21" s="7"/>
    </row>
    <row r="22" spans="2:36" ht="17" customHeight="1" x14ac:dyDescent="0.25">
      <c r="E22" s="4"/>
      <c r="F22" s="19"/>
      <c r="G22" s="19"/>
      <c r="H22" s="20"/>
      <c r="I22" s="4" t="s">
        <v>5</v>
      </c>
      <c r="J22" s="19"/>
      <c r="K22" s="19"/>
      <c r="L22" s="20"/>
      <c r="M22" s="4" t="s">
        <v>5</v>
      </c>
      <c r="N22" s="19"/>
      <c r="O22" s="19"/>
      <c r="P22" s="4"/>
      <c r="Q22" s="4" t="s">
        <v>5</v>
      </c>
      <c r="R22" s="12"/>
      <c r="S22" s="12"/>
      <c r="T22" s="4"/>
      <c r="U22" s="4" t="s">
        <v>5</v>
      </c>
      <c r="V22" s="12"/>
      <c r="W22" s="12"/>
      <c r="X22" s="21"/>
      <c r="Y22" s="16" t="s">
        <v>5</v>
      </c>
      <c r="Z22" s="12"/>
      <c r="AA22" s="12"/>
      <c r="AB22" s="21"/>
      <c r="AC22" s="14" t="s">
        <v>5</v>
      </c>
      <c r="AD22" s="12"/>
      <c r="AE22" s="12"/>
      <c r="AF22" s="21"/>
      <c r="AG22" s="4" t="s">
        <v>5</v>
      </c>
      <c r="AH22" s="12"/>
      <c r="AI22" s="12"/>
      <c r="AJ22" s="7"/>
    </row>
    <row r="23" spans="2:36" ht="17" customHeight="1" x14ac:dyDescent="0.25">
      <c r="B23">
        <v>1</v>
      </c>
      <c r="C23" t="s">
        <v>0</v>
      </c>
      <c r="D23">
        <v>4</v>
      </c>
      <c r="E23" s="14">
        <v>5.3566145156228986</v>
      </c>
      <c r="F23" s="19">
        <f>AVERAGE(E23:E25)</f>
        <v>5.0842037626455072</v>
      </c>
      <c r="G23" s="19">
        <f>STDEV(E23:E25)</f>
        <v>0.23900796807120051</v>
      </c>
      <c r="H23" s="20"/>
      <c r="I23" s="14">
        <v>4.2979468467835211</v>
      </c>
      <c r="J23" s="19">
        <f>AVERAGE(I23:I25)</f>
        <v>4.3915198531118937</v>
      </c>
      <c r="K23" s="19">
        <f>STDEV(I23:I25)</f>
        <v>0.2841790463005156</v>
      </c>
      <c r="L23" s="20"/>
      <c r="M23" s="14">
        <v>0.13273392627777916</v>
      </c>
      <c r="N23" s="19">
        <f>AVERAGE(M23:M25)</f>
        <v>0.11908974141482688</v>
      </c>
      <c r="O23" s="19">
        <f>STDEV(M23:M25)</f>
        <v>1.829813054655488E-2</v>
      </c>
      <c r="P23" s="4"/>
      <c r="Q23" s="14">
        <v>2.0371507268192155</v>
      </c>
      <c r="R23" s="12">
        <f>AVERAGE(Q23:Q25)</f>
        <v>2.058238794952524</v>
      </c>
      <c r="S23" s="12">
        <f>STDEV(Q23:Q25)</f>
        <v>5.9873794228058851E-2</v>
      </c>
      <c r="T23" s="4"/>
      <c r="U23" s="14">
        <v>14.087112959754972</v>
      </c>
      <c r="V23" s="12">
        <f>AVERAGE(U23:U25)</f>
        <v>14.170697532664425</v>
      </c>
      <c r="W23" s="12">
        <f>STDEV(U23:U25)</f>
        <v>0.34661974752205738</v>
      </c>
      <c r="X23" s="21"/>
      <c r="Y23" s="16">
        <v>0</v>
      </c>
      <c r="Z23" s="12">
        <f>AVERAGE(Y23:Y25)</f>
        <v>0</v>
      </c>
      <c r="AA23" s="12">
        <f>STDEV(Y23:Y25)</f>
        <v>0</v>
      </c>
      <c r="AB23" s="21"/>
      <c r="AC23" s="14">
        <v>19.748981246250857</v>
      </c>
      <c r="AD23" s="12">
        <f>AVERAGE(AC23:AC25)</f>
        <v>19.790391607130967</v>
      </c>
      <c r="AE23" s="12">
        <f>STDEV(AC23:AC25)</f>
        <v>0.50941881507602138</v>
      </c>
      <c r="AF23" s="21"/>
      <c r="AG23" s="14">
        <v>5.6233790127779792E-2</v>
      </c>
      <c r="AH23" s="12">
        <f>AVERAGE(AG23:AG25)</f>
        <v>5.629313977435265E-2</v>
      </c>
      <c r="AI23" s="12">
        <f>STDEV(AG23:AG25)</f>
        <v>4.7167102458394231E-4</v>
      </c>
      <c r="AJ23" s="18"/>
    </row>
    <row r="24" spans="2:36" ht="17" customHeight="1" x14ac:dyDescent="0.25">
      <c r="C24" t="s">
        <v>1</v>
      </c>
      <c r="D24">
        <v>4</v>
      </c>
      <c r="E24" s="14">
        <v>4.9096696104361861</v>
      </c>
      <c r="F24" s="19"/>
      <c r="G24" s="19"/>
      <c r="H24" s="20"/>
      <c r="I24" s="14">
        <v>4.1659264750049534</v>
      </c>
      <c r="J24" s="19"/>
      <c r="K24" s="19"/>
      <c r="L24" s="20"/>
      <c r="M24" s="14">
        <v>9.8296294501126966E-2</v>
      </c>
      <c r="N24" s="19"/>
      <c r="O24" s="19"/>
      <c r="P24" s="4"/>
      <c r="Q24" s="14">
        <v>2.0117622952434617</v>
      </c>
      <c r="R24" s="12"/>
      <c r="S24" s="12"/>
      <c r="T24" s="4"/>
      <c r="U24" s="14">
        <v>13.873512734715332</v>
      </c>
      <c r="V24" s="12"/>
      <c r="W24" s="12"/>
      <c r="X24" s="21"/>
      <c r="Y24" s="16">
        <v>0</v>
      </c>
      <c r="Z24" s="12"/>
      <c r="AA24" s="12"/>
      <c r="AB24" s="21"/>
      <c r="AC24" s="14">
        <v>19.302941874515671</v>
      </c>
      <c r="AD24" s="12"/>
      <c r="AE24" s="12"/>
      <c r="AF24" s="21"/>
      <c r="AG24" s="14">
        <v>5.5853952389713524E-2</v>
      </c>
      <c r="AH24" s="12"/>
      <c r="AI24" s="12"/>
      <c r="AJ24" s="18"/>
    </row>
    <row r="25" spans="2:36" ht="17" customHeight="1" x14ac:dyDescent="0.25">
      <c r="C25" t="s">
        <v>2</v>
      </c>
      <c r="D25">
        <v>4</v>
      </c>
      <c r="E25" s="14">
        <v>4.986327161877437</v>
      </c>
      <c r="F25" s="19"/>
      <c r="G25" s="19"/>
      <c r="H25" s="20"/>
      <c r="I25" s="14">
        <v>4.7106862375472076</v>
      </c>
      <c r="J25" s="19"/>
      <c r="K25" s="19"/>
      <c r="L25" s="20"/>
      <c r="M25" s="14">
        <v>0.12623900346557454</v>
      </c>
      <c r="N25" s="19"/>
      <c r="O25" s="19"/>
      <c r="P25" s="4"/>
      <c r="Q25" s="14">
        <v>2.1258033627948949</v>
      </c>
      <c r="R25" s="12"/>
      <c r="S25" s="12"/>
      <c r="T25" s="4"/>
      <c r="U25" s="14">
        <v>14.551466903522968</v>
      </c>
      <c r="V25" s="12"/>
      <c r="W25" s="12"/>
      <c r="X25" s="21"/>
      <c r="Y25" s="16">
        <v>0</v>
      </c>
      <c r="Z25" s="12"/>
      <c r="AA25" s="12"/>
      <c r="AB25" s="21"/>
      <c r="AC25" s="14">
        <v>20.319251700626374</v>
      </c>
      <c r="AD25" s="12"/>
      <c r="AE25" s="12"/>
      <c r="AF25" s="21"/>
      <c r="AG25" s="14">
        <v>5.6791676805564628E-2</v>
      </c>
      <c r="AH25" s="12"/>
      <c r="AI25" s="12"/>
      <c r="AJ25" s="18"/>
    </row>
    <row r="26" spans="2:36" ht="17" customHeight="1" x14ac:dyDescent="0.25">
      <c r="E26" s="4"/>
      <c r="F26" s="19"/>
      <c r="G26" s="19"/>
      <c r="H26" s="20"/>
      <c r="I26" s="4" t="s">
        <v>5</v>
      </c>
      <c r="J26" s="19"/>
      <c r="K26" s="19"/>
      <c r="L26" s="20"/>
      <c r="M26" s="4" t="s">
        <v>5</v>
      </c>
      <c r="N26" s="19"/>
      <c r="O26" s="19"/>
      <c r="P26" s="4"/>
      <c r="Q26" s="4" t="s">
        <v>5</v>
      </c>
      <c r="R26" s="12"/>
      <c r="S26" s="12"/>
      <c r="T26" s="4"/>
      <c r="U26" s="4" t="s">
        <v>5</v>
      </c>
      <c r="V26" s="12"/>
      <c r="W26" s="12"/>
      <c r="X26" s="21"/>
      <c r="Y26" s="16" t="s">
        <v>5</v>
      </c>
      <c r="Z26" s="12"/>
      <c r="AA26" s="12"/>
      <c r="AB26" s="21"/>
      <c r="AC26" s="14" t="s">
        <v>5</v>
      </c>
      <c r="AD26" s="12"/>
      <c r="AE26" s="12"/>
      <c r="AF26" s="21"/>
      <c r="AG26" s="4" t="s">
        <v>5</v>
      </c>
      <c r="AH26" s="12"/>
      <c r="AI26" s="12"/>
      <c r="AJ26" s="18"/>
    </row>
    <row r="27" spans="2:36" ht="17" customHeight="1" x14ac:dyDescent="0.25">
      <c r="B27">
        <v>1</v>
      </c>
      <c r="C27" t="s">
        <v>0</v>
      </c>
      <c r="D27">
        <v>5</v>
      </c>
      <c r="E27" s="14">
        <v>4.4707939211906575</v>
      </c>
      <c r="F27" s="19">
        <f>AVERAGE(E27:E29)</f>
        <v>4.4837943246514547</v>
      </c>
      <c r="G27" s="19">
        <f>STDEV(E27:E29)</f>
        <v>1.5728520009726504E-2</v>
      </c>
      <c r="H27" s="20"/>
      <c r="I27" s="14">
        <v>3.9169025694768393</v>
      </c>
      <c r="J27" s="19">
        <f>AVERAGE(I27:I29)</f>
        <v>4.0862200808140186</v>
      </c>
      <c r="K27" s="19">
        <f>STDEV(I27:I29)</f>
        <v>0.27992653884257651</v>
      </c>
      <c r="L27" s="20"/>
      <c r="M27" s="16">
        <v>0</v>
      </c>
      <c r="N27" s="19">
        <f>AVERAGE(M27:M29)</f>
        <v>0</v>
      </c>
      <c r="O27" s="19">
        <f>STDEV(M27:M29)</f>
        <v>0</v>
      </c>
      <c r="P27" s="4"/>
      <c r="Q27" s="14">
        <v>1.6602686610685762</v>
      </c>
      <c r="R27" s="12">
        <f>AVERAGE(Q27:Q29)</f>
        <v>1.6953703448303041</v>
      </c>
      <c r="S27" s="12">
        <f>STDEV(Q27:Q29)</f>
        <v>0.12855092082589922</v>
      </c>
      <c r="T27" s="4"/>
      <c r="U27" s="14">
        <v>11.496498230399197</v>
      </c>
      <c r="V27" s="12">
        <f>AVERAGE(U27:U29)</f>
        <v>11.734543814526708</v>
      </c>
      <c r="W27" s="12">
        <f>STDEV(U27:U29)</f>
        <v>0.85126057047575165</v>
      </c>
      <c r="X27" s="21"/>
      <c r="Y27" s="16">
        <v>0</v>
      </c>
      <c r="Z27" s="12">
        <f>AVERAGE(Y27:Y29)</f>
        <v>0</v>
      </c>
      <c r="AA27" s="12">
        <f>STDEV(Y27:Y29)</f>
        <v>0</v>
      </c>
      <c r="AB27" s="21"/>
      <c r="AC27" s="14">
        <v>15.603449065935674</v>
      </c>
      <c r="AD27" s="12">
        <f>AVERAGE(AC27:AC29)</f>
        <v>15.966445805775452</v>
      </c>
      <c r="AE27" s="12">
        <f>STDEV(AC27:AC29)</f>
        <v>1.4022768730732202</v>
      </c>
      <c r="AF27" s="21"/>
      <c r="AG27" s="14">
        <v>4.512353628934139E-2</v>
      </c>
      <c r="AH27" s="12">
        <f>AVERAGE(AG27:AG29)</f>
        <v>4.4937574063413116E-2</v>
      </c>
      <c r="AI27" s="12">
        <f>STDEV(AG27:AG29)</f>
        <v>3.9737561661459487E-3</v>
      </c>
      <c r="AJ27" s="18"/>
    </row>
    <row r="28" spans="2:36" ht="17" customHeight="1" x14ac:dyDescent="0.25">
      <c r="C28" t="s">
        <v>1</v>
      </c>
      <c r="D28">
        <v>5</v>
      </c>
      <c r="E28" s="14">
        <v>4.4793114269063521</v>
      </c>
      <c r="F28" s="19"/>
      <c r="G28" s="19"/>
      <c r="H28" s="20"/>
      <c r="I28" s="14">
        <v>4.4093270539519844</v>
      </c>
      <c r="J28" s="19"/>
      <c r="K28" s="19"/>
      <c r="L28" s="20"/>
      <c r="M28" s="16">
        <v>0</v>
      </c>
      <c r="N28" s="19"/>
      <c r="O28" s="19"/>
      <c r="P28" s="4"/>
      <c r="Q28" s="14">
        <v>1.8378261229347028</v>
      </c>
      <c r="R28" s="12"/>
      <c r="S28" s="12"/>
      <c r="T28" s="4"/>
      <c r="U28" s="14">
        <v>12.679487476743738</v>
      </c>
      <c r="V28" s="12"/>
      <c r="W28" s="12"/>
      <c r="X28" s="21"/>
      <c r="Y28" s="16">
        <v>0</v>
      </c>
      <c r="Z28" s="12"/>
      <c r="AA28" s="12"/>
      <c r="AB28" s="21"/>
      <c r="AC28" s="14">
        <v>17.51452950193929</v>
      </c>
      <c r="AD28" s="12"/>
      <c r="AE28" s="12"/>
      <c r="AF28" s="21"/>
      <c r="AG28" s="14">
        <v>4.8815084306172957E-2</v>
      </c>
      <c r="AH28" s="12"/>
      <c r="AI28" s="12"/>
      <c r="AJ28" s="18"/>
    </row>
    <row r="29" spans="2:36" ht="17" customHeight="1" x14ac:dyDescent="0.25">
      <c r="C29" t="s">
        <v>2</v>
      </c>
      <c r="D29">
        <v>5</v>
      </c>
      <c r="E29" s="14">
        <v>4.5012776258573535</v>
      </c>
      <c r="F29" s="19"/>
      <c r="G29" s="19"/>
      <c r="H29" s="20"/>
      <c r="I29" s="14">
        <v>3.9324306190132341</v>
      </c>
      <c r="J29" s="19"/>
      <c r="K29" s="19"/>
      <c r="L29" s="20"/>
      <c r="M29" s="16">
        <v>0</v>
      </c>
      <c r="N29" s="19"/>
      <c r="O29" s="19"/>
      <c r="P29" s="4"/>
      <c r="Q29" s="14">
        <v>1.5880162504876327</v>
      </c>
      <c r="R29" s="12"/>
      <c r="S29" s="12"/>
      <c r="T29" s="4"/>
      <c r="U29" s="14">
        <v>11.027645736437183</v>
      </c>
      <c r="V29" s="12"/>
      <c r="W29" s="12"/>
      <c r="X29" s="21"/>
      <c r="Y29" s="16">
        <v>0</v>
      </c>
      <c r="Z29" s="12"/>
      <c r="AA29" s="12"/>
      <c r="AB29" s="21"/>
      <c r="AC29" s="14">
        <v>14.781358849451394</v>
      </c>
      <c r="AD29" s="12"/>
      <c r="AE29" s="12"/>
      <c r="AF29" s="21"/>
      <c r="AG29" s="14">
        <v>4.0874101594725008E-2</v>
      </c>
      <c r="AH29" s="12"/>
      <c r="AI29" s="12"/>
      <c r="AJ29" s="18"/>
    </row>
    <row r="30" spans="2:36" ht="17" customHeight="1" x14ac:dyDescent="0.25">
      <c r="E30" s="4"/>
      <c r="F30" s="19"/>
      <c r="G30" s="19"/>
      <c r="H30" s="20"/>
      <c r="I30" s="4" t="s">
        <v>5</v>
      </c>
      <c r="J30" s="19"/>
      <c r="K30" s="19"/>
      <c r="L30" s="20"/>
      <c r="M30" s="16" t="s">
        <v>5</v>
      </c>
      <c r="N30" s="19"/>
      <c r="O30" s="19"/>
      <c r="P30" s="4"/>
      <c r="Q30" s="4" t="s">
        <v>5</v>
      </c>
      <c r="R30" s="12"/>
      <c r="S30" s="12"/>
      <c r="T30" s="4"/>
      <c r="U30" s="4" t="s">
        <v>5</v>
      </c>
      <c r="V30" s="12"/>
      <c r="W30" s="12"/>
      <c r="X30" s="21"/>
      <c r="Y30" s="16" t="s">
        <v>5</v>
      </c>
      <c r="Z30" s="12"/>
      <c r="AA30" s="12"/>
      <c r="AB30" s="21"/>
      <c r="AC30" s="14" t="s">
        <v>5</v>
      </c>
      <c r="AD30" s="12"/>
      <c r="AE30" s="12"/>
      <c r="AF30" s="21"/>
      <c r="AG30" s="4" t="s">
        <v>5</v>
      </c>
      <c r="AH30" s="12"/>
      <c r="AI30" s="12"/>
      <c r="AJ30" s="18"/>
    </row>
    <row r="31" spans="2:36" ht="17" customHeight="1" x14ac:dyDescent="0.25">
      <c r="B31">
        <v>1</v>
      </c>
      <c r="C31" t="s">
        <v>0</v>
      </c>
      <c r="D31">
        <v>6</v>
      </c>
      <c r="E31" s="14">
        <v>3.8431882368763164</v>
      </c>
      <c r="F31" s="19">
        <f>AVERAGE(E31:E33)</f>
        <v>3.7740021816769023</v>
      </c>
      <c r="G31" s="19">
        <f>STDEV(E31:E33)</f>
        <v>6.3150543037214235E-2</v>
      </c>
      <c r="H31" s="20"/>
      <c r="I31" s="14">
        <v>5.8547775910435753</v>
      </c>
      <c r="J31" s="19">
        <f>AVERAGE(I31:I33)</f>
        <v>4.7853657185823257</v>
      </c>
      <c r="K31" s="19">
        <f>STDEV(I31:I33)</f>
        <v>1.174800195338457</v>
      </c>
      <c r="L31" s="20"/>
      <c r="M31" s="16">
        <v>0</v>
      </c>
      <c r="N31" s="19">
        <f>AVERAGE(M31:M33)</f>
        <v>0</v>
      </c>
      <c r="O31" s="19">
        <f>STDEV(M31:M33)</f>
        <v>0</v>
      </c>
      <c r="P31" s="4"/>
      <c r="Q31" s="14">
        <v>1.5051324588122643</v>
      </c>
      <c r="R31" s="12">
        <f>AVERAGE(Q31:Q33)</f>
        <v>1.465069726570966</v>
      </c>
      <c r="S31" s="12">
        <f>STDEV(Q31:Q33)</f>
        <v>6.8186214036562609E-2</v>
      </c>
      <c r="T31" s="4"/>
      <c r="U31" s="14">
        <v>10.505522640897105</v>
      </c>
      <c r="V31" s="12">
        <f>AVERAGE(U31:U33)</f>
        <v>10.286032227833644</v>
      </c>
      <c r="W31" s="12">
        <f>STDEV(U31:U33)</f>
        <v>0.39622333936233267</v>
      </c>
      <c r="X31" s="21"/>
      <c r="Y31" s="16">
        <v>0</v>
      </c>
      <c r="Z31" s="12">
        <f>AVERAGE(Y31:Y33)</f>
        <v>0</v>
      </c>
      <c r="AA31" s="12">
        <f>STDEV(Y31:Y33)</f>
        <v>0</v>
      </c>
      <c r="AB31" s="21"/>
      <c r="AC31" s="14">
        <v>14.190508642103543</v>
      </c>
      <c r="AD31" s="12">
        <f>AVERAGE(AC31:AC33)</f>
        <v>13.713517630642498</v>
      </c>
      <c r="AE31" s="12">
        <f>STDEV(AC31:AC33)</f>
        <v>0.7455383193784002</v>
      </c>
      <c r="AF31" s="21"/>
      <c r="AG31" s="14">
        <v>3.9526864617521203E-2</v>
      </c>
      <c r="AH31" s="12">
        <f>AVERAGE(AG31:AG33)</f>
        <v>3.8145996173926118E-2</v>
      </c>
      <c r="AI31" s="12">
        <f>STDEV(AG31:AG33)</f>
        <v>2.4536706784463237E-3</v>
      </c>
      <c r="AJ31" s="18"/>
    </row>
    <row r="32" spans="2:36" ht="17" customHeight="1" x14ac:dyDescent="0.25">
      <c r="C32" t="s">
        <v>1</v>
      </c>
      <c r="D32">
        <v>6</v>
      </c>
      <c r="E32" s="14">
        <v>3.7593580490429011</v>
      </c>
      <c r="F32" s="19"/>
      <c r="G32" s="19"/>
      <c r="H32" s="20"/>
      <c r="I32" s="14">
        <v>4.973448952335918</v>
      </c>
      <c r="J32" s="19"/>
      <c r="K32" s="19"/>
      <c r="L32" s="20"/>
      <c r="M32" s="16">
        <v>0</v>
      </c>
      <c r="N32" s="19"/>
      <c r="O32" s="19"/>
      <c r="P32" s="4"/>
      <c r="Q32" s="14">
        <v>1.5037375333462057</v>
      </c>
      <c r="R32" s="4"/>
      <c r="S32" s="4"/>
      <c r="T32" s="4"/>
      <c r="U32" s="14">
        <v>10.523937569389158</v>
      </c>
      <c r="V32" s="4"/>
      <c r="W32" s="4"/>
      <c r="X32" s="21"/>
      <c r="Y32" s="16">
        <v>0</v>
      </c>
      <c r="Z32" s="4"/>
      <c r="AA32" s="4"/>
      <c r="AB32" s="21"/>
      <c r="AC32" s="14">
        <v>14.09565653170924</v>
      </c>
      <c r="AD32" s="4"/>
      <c r="AE32" s="4"/>
      <c r="AF32" s="21"/>
      <c r="AG32" s="14">
        <v>3.9598084193408635E-2</v>
      </c>
      <c r="AJ32" s="7"/>
    </row>
    <row r="33" spans="1:36" ht="17" customHeight="1" x14ac:dyDescent="0.25">
      <c r="C33" t="s">
        <v>2</v>
      </c>
      <c r="D33">
        <v>6</v>
      </c>
      <c r="E33" s="14">
        <v>3.7194602591114894</v>
      </c>
      <c r="F33" s="19"/>
      <c r="G33" s="19"/>
      <c r="H33" s="20"/>
      <c r="I33" s="14">
        <v>3.5278706123674848</v>
      </c>
      <c r="J33" s="19"/>
      <c r="K33" s="19"/>
      <c r="L33" s="20"/>
      <c r="M33" s="16">
        <v>0</v>
      </c>
      <c r="N33" s="19"/>
      <c r="O33" s="19"/>
      <c r="P33" s="4"/>
      <c r="Q33" s="14">
        <v>1.386339187554428</v>
      </c>
      <c r="R33" s="4"/>
      <c r="S33" s="4"/>
      <c r="T33" s="4"/>
      <c r="U33" s="14">
        <v>9.8286364732146687</v>
      </c>
      <c r="V33" s="4"/>
      <c r="W33" s="4"/>
      <c r="X33" s="21"/>
      <c r="Y33" s="16">
        <v>0</v>
      </c>
      <c r="Z33" s="4"/>
      <c r="AA33" s="4"/>
      <c r="AB33" s="21"/>
      <c r="AC33" s="14">
        <v>12.854387718114706</v>
      </c>
      <c r="AD33" s="4"/>
      <c r="AE33" s="4"/>
      <c r="AF33" s="21"/>
      <c r="AG33" s="14">
        <v>3.5313039710848523E-2</v>
      </c>
      <c r="AJ33" s="7"/>
    </row>
    <row r="34" spans="1:36" x14ac:dyDescent="0.2">
      <c r="E34"/>
      <c r="F34"/>
      <c r="G34"/>
    </row>
    <row r="35" spans="1:36" ht="16" x14ac:dyDescent="0.2">
      <c r="A35" s="1"/>
      <c r="E35"/>
      <c r="F35"/>
      <c r="G35"/>
      <c r="H35"/>
      <c r="I35"/>
      <c r="J35"/>
      <c r="M35" s="17" t="s">
        <v>13</v>
      </c>
      <c r="Y35" s="17" t="s">
        <v>14</v>
      </c>
      <c r="AC35" s="17" t="s">
        <v>13</v>
      </c>
    </row>
    <row r="36" spans="1:36" x14ac:dyDescent="0.2">
      <c r="E36"/>
      <c r="F36"/>
      <c r="G36"/>
    </row>
    <row r="37" spans="1:36" x14ac:dyDescent="0.2">
      <c r="E37"/>
      <c r="F37"/>
      <c r="G37"/>
    </row>
    <row r="38" spans="1:36" x14ac:dyDescent="0.2">
      <c r="E38"/>
      <c r="F38"/>
      <c r="G38"/>
    </row>
    <row r="39" spans="1:36" x14ac:dyDescent="0.2">
      <c r="E39"/>
      <c r="F39"/>
      <c r="G39"/>
    </row>
    <row r="40" spans="1:36" x14ac:dyDescent="0.2">
      <c r="E40"/>
      <c r="F40"/>
      <c r="G40"/>
    </row>
    <row r="41" spans="1:36" x14ac:dyDescent="0.2">
      <c r="E41"/>
      <c r="F41"/>
      <c r="G41"/>
    </row>
    <row r="42" spans="1:36" x14ac:dyDescent="0.2">
      <c r="E42"/>
      <c r="F42"/>
      <c r="G42"/>
    </row>
    <row r="43" spans="1:36" x14ac:dyDescent="0.2">
      <c r="E43"/>
      <c r="F43"/>
      <c r="G43"/>
    </row>
    <row r="44" spans="1:36" x14ac:dyDescent="0.2">
      <c r="E44"/>
      <c r="F44"/>
      <c r="G44"/>
    </row>
  </sheetData>
  <printOptions gridLines="1"/>
  <pageMargins left="0.25" right="0.25" top="0.75" bottom="0.75" header="0.3" footer="0.3"/>
  <pageSetup paperSize="17" scale="36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5725C-32DF-4236-9226-22947E5C6D26}">
  <sheetPr>
    <pageSetUpPr fitToPage="1"/>
  </sheetPr>
  <dimension ref="A4:AJ46"/>
  <sheetViews>
    <sheetView workbookViewId="0">
      <selection activeCell="Z11" sqref="Z11:AA11"/>
    </sheetView>
  </sheetViews>
  <sheetFormatPr baseColWidth="10" defaultColWidth="8.83203125" defaultRowHeight="15" x14ac:dyDescent="0.2"/>
  <cols>
    <col min="2" max="2" width="7.5" customWidth="1"/>
    <col min="3" max="4" width="3.5" customWidth="1"/>
    <col min="5" max="5" width="9.5" style="3" customWidth="1"/>
    <col min="6" max="6" width="13.33203125" style="3" customWidth="1"/>
    <col min="7" max="7" width="9.5" style="3" customWidth="1"/>
    <col min="8" max="8" width="2.5" style="5" customWidth="1"/>
    <col min="9" max="9" width="11.33203125" style="5" customWidth="1"/>
    <col min="10" max="11" width="7.6640625" style="5" customWidth="1"/>
    <col min="12" max="12" width="2.5" style="5" customWidth="1"/>
    <col min="13" max="13" width="10.1640625" style="5" customWidth="1"/>
    <col min="14" max="15" width="8.5" style="5" customWidth="1"/>
    <col min="16" max="16" width="2" customWidth="1"/>
    <col min="20" max="20" width="2.33203125" customWidth="1"/>
    <col min="22" max="23" width="9.1640625" style="8"/>
    <col min="24" max="24" width="2" customWidth="1"/>
    <col min="28" max="28" width="1.5" customWidth="1"/>
    <col min="30" max="31" width="9.1640625" style="8"/>
    <col min="32" max="32" width="1.5" customWidth="1"/>
    <col min="34" max="35" width="9.1640625" style="4"/>
    <col min="36" max="36" width="1.83203125" style="5" customWidth="1"/>
  </cols>
  <sheetData>
    <row r="4" spans="1:36" x14ac:dyDescent="0.2">
      <c r="E4" s="3" t="s">
        <v>5</v>
      </c>
    </row>
    <row r="6" spans="1:36" x14ac:dyDescent="0.2">
      <c r="B6" s="2" t="s">
        <v>8</v>
      </c>
    </row>
    <row r="7" spans="1:36" x14ac:dyDescent="0.2">
      <c r="E7" s="6" t="s">
        <v>5</v>
      </c>
      <c r="F7" s="6"/>
      <c r="G7" s="6"/>
      <c r="H7" s="7"/>
      <c r="I7" s="7" t="s">
        <v>5</v>
      </c>
      <c r="J7" s="7"/>
      <c r="K7" s="7"/>
      <c r="L7" s="7"/>
      <c r="M7" s="7" t="s">
        <v>5</v>
      </c>
    </row>
    <row r="8" spans="1:36" ht="16" x14ac:dyDescent="0.2">
      <c r="A8" s="1"/>
      <c r="E8" t="s">
        <v>15</v>
      </c>
      <c r="I8" t="s">
        <v>16</v>
      </c>
      <c r="J8" s="7"/>
      <c r="K8" s="7"/>
      <c r="M8" t="s">
        <v>17</v>
      </c>
      <c r="Q8" t="s">
        <v>18</v>
      </c>
      <c r="R8" s="9"/>
      <c r="S8" s="9"/>
      <c r="U8" t="s">
        <v>19</v>
      </c>
      <c r="V8" s="10"/>
      <c r="W8" s="10"/>
      <c r="Y8" t="s">
        <v>20</v>
      </c>
      <c r="Z8" s="9"/>
      <c r="AA8" s="9"/>
      <c r="AC8" s="11" t="s">
        <v>21</v>
      </c>
      <c r="AD8" s="10"/>
      <c r="AE8" s="10"/>
      <c r="AG8" t="s">
        <v>22</v>
      </c>
      <c r="AH8" s="12"/>
      <c r="AI8" s="12"/>
    </row>
    <row r="9" spans="1:36" s="13" customFormat="1" ht="17" customHeight="1" x14ac:dyDescent="0.25">
      <c r="A9" s="1"/>
      <c r="B9"/>
      <c r="C9"/>
      <c r="D9"/>
      <c r="E9" t="s">
        <v>12</v>
      </c>
      <c r="F9" s="6" t="s">
        <v>3</v>
      </c>
      <c r="G9" s="6" t="s">
        <v>4</v>
      </c>
      <c r="H9" s="5" t="s">
        <v>5</v>
      </c>
      <c r="I9" t="s">
        <v>12</v>
      </c>
      <c r="J9" s="7" t="s">
        <v>3</v>
      </c>
      <c r="K9" s="7" t="s">
        <v>4</v>
      </c>
      <c r="L9" s="5" t="s">
        <v>5</v>
      </c>
      <c r="M9" t="s">
        <v>12</v>
      </c>
      <c r="N9" s="7" t="s">
        <v>3</v>
      </c>
      <c r="O9" s="7" t="s">
        <v>4</v>
      </c>
      <c r="P9"/>
      <c r="Q9" t="s">
        <v>12</v>
      </c>
      <c r="R9" s="9" t="s">
        <v>3</v>
      </c>
      <c r="S9" s="9" t="s">
        <v>4</v>
      </c>
      <c r="T9"/>
      <c r="U9" t="s">
        <v>12</v>
      </c>
      <c r="V9" s="10" t="s">
        <v>3</v>
      </c>
      <c r="W9" s="10" t="s">
        <v>4</v>
      </c>
      <c r="Y9" t="s">
        <v>12</v>
      </c>
      <c r="Z9" s="9" t="s">
        <v>3</v>
      </c>
      <c r="AA9" s="9" t="s">
        <v>4</v>
      </c>
      <c r="AC9" s="11" t="s">
        <v>12</v>
      </c>
      <c r="AD9" s="10" t="s">
        <v>3</v>
      </c>
      <c r="AE9" s="10" t="s">
        <v>4</v>
      </c>
      <c r="AG9" t="s">
        <v>12</v>
      </c>
      <c r="AH9" s="12" t="s">
        <v>3</v>
      </c>
      <c r="AI9" s="12" t="s">
        <v>4</v>
      </c>
      <c r="AJ9" s="7"/>
    </row>
    <row r="10" spans="1:36" ht="17" customHeight="1" x14ac:dyDescent="0.25">
      <c r="E10"/>
      <c r="F10" s="6"/>
      <c r="G10" s="6"/>
      <c r="I10"/>
      <c r="J10" s="7"/>
      <c r="K10" s="7"/>
      <c r="M10"/>
      <c r="N10" s="7"/>
      <c r="O10" s="7"/>
      <c r="X10" s="13"/>
      <c r="AB10" s="13"/>
      <c r="AC10" s="11"/>
      <c r="AF10" s="13"/>
      <c r="AJ10" s="7"/>
    </row>
    <row r="11" spans="1:36" ht="17" customHeight="1" x14ac:dyDescent="0.25">
      <c r="B11">
        <v>5</v>
      </c>
      <c r="C11" t="s">
        <v>0</v>
      </c>
      <c r="D11">
        <v>1</v>
      </c>
      <c r="E11" s="14">
        <v>757.06979972784825</v>
      </c>
      <c r="F11" s="19">
        <f>AVERAGE(E11:E13)</f>
        <v>762.15409795667949</v>
      </c>
      <c r="G11" s="19">
        <f>STDEV(E11:E13)</f>
        <v>5.308428266875481</v>
      </c>
      <c r="H11" s="20"/>
      <c r="I11" s="14">
        <v>13.697043007670525</v>
      </c>
      <c r="J11" s="19">
        <f>AVERAGE(I11:I13)</f>
        <v>13.316364164478637</v>
      </c>
      <c r="K11" s="19">
        <f>STDEV(I11:I13)</f>
        <v>0.39777860212769822</v>
      </c>
      <c r="L11" s="20"/>
      <c r="M11" s="14">
        <v>12.723699197828566</v>
      </c>
      <c r="N11" s="19">
        <f>AVERAGE(M11:M13)</f>
        <v>12.788931165127758</v>
      </c>
      <c r="O11" s="19">
        <f>STDEV(M11:M13)</f>
        <v>0.21852550539415616</v>
      </c>
      <c r="P11" s="4"/>
      <c r="Q11" s="14">
        <v>7.5226442030415672</v>
      </c>
      <c r="R11" s="12">
        <f>AVERAGE(Q11:Q13)</f>
        <v>7.5515062639244119</v>
      </c>
      <c r="S11" s="12">
        <f>STDEV(Q11:Q13)</f>
        <v>5.341630882182799E-2</v>
      </c>
      <c r="T11" s="4"/>
      <c r="U11" s="14">
        <v>1.6159343661337091</v>
      </c>
      <c r="V11" s="12">
        <f>AVERAGE(U11:U13)</f>
        <v>1.6381358440696474</v>
      </c>
      <c r="W11" s="12">
        <f>STDEV(U11:U13)</f>
        <v>1.9282121678266345E-2</v>
      </c>
      <c r="X11" s="21"/>
      <c r="Y11" s="14">
        <v>0.49504950495049538</v>
      </c>
      <c r="Z11" s="12">
        <f>AVERAGE(Y11:Y13)</f>
        <v>0.50165016501650184</v>
      </c>
      <c r="AA11" s="12">
        <f>STDEV(Y11:Y13)</f>
        <v>3.0248024389147511E-2</v>
      </c>
      <c r="AB11" s="21"/>
      <c r="AC11" s="16">
        <v>0</v>
      </c>
      <c r="AD11" s="12">
        <f>AVERAGE(AC11:AC13)</f>
        <v>0</v>
      </c>
      <c r="AE11" s="12">
        <f>STDEV(AC11:AC13)</f>
        <v>0</v>
      </c>
      <c r="AF11" s="21"/>
      <c r="AG11" s="14">
        <v>0.18068999899105601</v>
      </c>
      <c r="AH11" s="12">
        <f>AVERAGE(AG11:AG13)</f>
        <v>0.16557364400894992</v>
      </c>
      <c r="AI11" s="12">
        <f>STDEV(AG11:AG13)</f>
        <v>1.314511874214758E-2</v>
      </c>
      <c r="AJ11" s="15"/>
    </row>
    <row r="12" spans="1:36" ht="17" customHeight="1" x14ac:dyDescent="0.25">
      <c r="C12" t="s">
        <v>1</v>
      </c>
      <c r="D12">
        <v>1</v>
      </c>
      <c r="E12" s="14">
        <v>767.66135150513958</v>
      </c>
      <c r="F12" s="19"/>
      <c r="G12" s="19"/>
      <c r="H12" s="20"/>
      <c r="I12" s="14">
        <v>13.348601763417683</v>
      </c>
      <c r="J12" s="19"/>
      <c r="K12" s="19"/>
      <c r="L12" s="20"/>
      <c r="M12" s="14">
        <v>12.6104500399874</v>
      </c>
      <c r="N12" s="19"/>
      <c r="O12" s="19"/>
      <c r="P12" s="4"/>
      <c r="Q12" s="14">
        <v>7.5187298995071341</v>
      </c>
      <c r="R12" s="12"/>
      <c r="S12" s="12"/>
      <c r="T12" s="4"/>
      <c r="U12" s="14">
        <v>1.6477802178668919</v>
      </c>
      <c r="V12" s="12"/>
      <c r="W12" s="12"/>
      <c r="X12" s="21"/>
      <c r="Y12" s="14">
        <v>0.5346534653465348</v>
      </c>
      <c r="Z12" s="12"/>
      <c r="AA12" s="12"/>
      <c r="AB12" s="21"/>
      <c r="AC12" s="16">
        <v>0</v>
      </c>
      <c r="AD12" s="12"/>
      <c r="AE12" s="12"/>
      <c r="AF12" s="21"/>
      <c r="AG12" s="14">
        <v>0.15682550610411117</v>
      </c>
      <c r="AH12" s="12"/>
      <c r="AI12" s="12"/>
      <c r="AJ12" s="7"/>
    </row>
    <row r="13" spans="1:36" ht="17" customHeight="1" x14ac:dyDescent="0.25">
      <c r="C13" t="s">
        <v>2</v>
      </c>
      <c r="D13">
        <v>1</v>
      </c>
      <c r="E13" s="14">
        <v>761.73114263705043</v>
      </c>
      <c r="F13" s="19"/>
      <c r="G13" s="19"/>
      <c r="H13" s="20"/>
      <c r="I13" s="14">
        <v>12.90344772234771</v>
      </c>
      <c r="J13" s="19"/>
      <c r="K13" s="19"/>
      <c r="L13" s="20"/>
      <c r="M13" s="14">
        <v>13.032644257567314</v>
      </c>
      <c r="N13" s="19"/>
      <c r="O13" s="19"/>
      <c r="P13" s="4"/>
      <c r="Q13" s="14">
        <v>7.6131446892245327</v>
      </c>
      <c r="R13" s="12"/>
      <c r="S13" s="12"/>
      <c r="T13" s="4"/>
      <c r="U13" s="14">
        <v>1.6506929482083414</v>
      </c>
      <c r="V13" s="12"/>
      <c r="W13" s="12"/>
      <c r="X13" s="21"/>
      <c r="Y13" s="14">
        <v>0.47524752475247523</v>
      </c>
      <c r="Z13" s="12"/>
      <c r="AA13" s="12"/>
      <c r="AB13" s="21"/>
      <c r="AC13" s="16">
        <v>0</v>
      </c>
      <c r="AD13" s="12"/>
      <c r="AE13" s="12"/>
      <c r="AF13" s="21"/>
      <c r="AG13" s="14">
        <v>0.1592054269316826</v>
      </c>
      <c r="AH13" s="12"/>
      <c r="AI13" s="12"/>
      <c r="AJ13" s="7"/>
    </row>
    <row r="14" spans="1:36" ht="17" customHeight="1" x14ac:dyDescent="0.25">
      <c r="E14" s="4"/>
      <c r="F14" s="19"/>
      <c r="G14" s="19"/>
      <c r="H14" s="20"/>
      <c r="I14" s="4"/>
      <c r="J14" s="19"/>
      <c r="K14" s="19"/>
      <c r="L14" s="20"/>
      <c r="M14" s="4"/>
      <c r="N14" s="19"/>
      <c r="O14" s="19"/>
      <c r="P14" s="4"/>
      <c r="Q14" s="4"/>
      <c r="R14" s="12"/>
      <c r="S14" s="12"/>
      <c r="T14" s="4"/>
      <c r="U14" s="4"/>
      <c r="V14" s="12"/>
      <c r="W14" s="12"/>
      <c r="X14" s="21"/>
      <c r="Y14" s="16"/>
      <c r="Z14" s="12"/>
      <c r="AA14" s="12"/>
      <c r="AB14" s="21"/>
      <c r="AC14" s="14"/>
      <c r="AD14" s="12"/>
      <c r="AE14" s="12"/>
      <c r="AF14" s="21"/>
      <c r="AG14" s="4"/>
      <c r="AH14" s="12"/>
      <c r="AI14" s="12"/>
      <c r="AJ14" s="7"/>
    </row>
    <row r="15" spans="1:36" ht="17" customHeight="1" x14ac:dyDescent="0.25">
      <c r="B15">
        <v>5</v>
      </c>
      <c r="C15" t="s">
        <v>0</v>
      </c>
      <c r="D15">
        <v>2</v>
      </c>
      <c r="E15" s="14">
        <v>61.132500172840281</v>
      </c>
      <c r="F15" s="19">
        <f>AVERAGE(E15:E17)</f>
        <v>62.530488798136012</v>
      </c>
      <c r="G15" s="19">
        <f>STDEV(E15:E17)</f>
        <v>1.2107229181468033</v>
      </c>
      <c r="H15" s="20"/>
      <c r="I15" s="14">
        <v>5.8300560670511494</v>
      </c>
      <c r="J15" s="19">
        <f>AVERAGE(I15:I17)</f>
        <v>5.7246102632896507</v>
      </c>
      <c r="K15" s="19">
        <f>STDEV(I15:I17)</f>
        <v>0.10871534765758667</v>
      </c>
      <c r="L15" s="20"/>
      <c r="M15" s="14">
        <v>0.17051595860698454</v>
      </c>
      <c r="N15" s="19">
        <f>AVERAGE(M15:M17)</f>
        <v>0.17710782056564001</v>
      </c>
      <c r="O15" s="19">
        <f>STDEV(M15:M17)</f>
        <v>1.0691277126329326E-2</v>
      </c>
      <c r="P15" s="4"/>
      <c r="Q15" s="14">
        <v>2.2292579624033575</v>
      </c>
      <c r="R15" s="12">
        <f>AVERAGE(Q15:Q17)</f>
        <v>2.1649923877251576</v>
      </c>
      <c r="S15" s="12">
        <f>STDEV(Q15:Q17)</f>
        <v>5.5917952216248838E-2</v>
      </c>
      <c r="T15" s="4"/>
      <c r="U15" s="14">
        <v>15.816821691189613</v>
      </c>
      <c r="V15" s="12">
        <f>AVERAGE(U15:U17)</f>
        <v>15.47472690653143</v>
      </c>
      <c r="W15" s="12">
        <f>STDEV(U15:U17)</f>
        <v>0.30390419947629171</v>
      </c>
      <c r="X15" s="21"/>
      <c r="Y15" s="16">
        <v>0</v>
      </c>
      <c r="Z15" s="12">
        <f>AVERAGE(Y15:Y17)</f>
        <v>0</v>
      </c>
      <c r="AA15" s="12">
        <f>STDEV(Y15:Y17)</f>
        <v>0</v>
      </c>
      <c r="AB15" s="21"/>
      <c r="AC15" s="14">
        <v>25.276888141342219</v>
      </c>
      <c r="AD15" s="12">
        <f>AVERAGE(AC15:AC17)</f>
        <v>24.634670561830877</v>
      </c>
      <c r="AE15" s="12">
        <f>STDEV(AC15:AC17)</f>
        <v>0.61600952243103502</v>
      </c>
      <c r="AF15" s="21"/>
      <c r="AG15" s="14">
        <v>7.8501777521914867E-2</v>
      </c>
      <c r="AH15" s="12">
        <f>AVERAGE(AG15:AG17)</f>
        <v>7.5035758162060151E-2</v>
      </c>
      <c r="AI15" s="12">
        <f>STDEV(AG15:AG17)</f>
        <v>3.7796033886617376E-3</v>
      </c>
      <c r="AJ15" s="15"/>
    </row>
    <row r="16" spans="1:36" ht="17" customHeight="1" x14ac:dyDescent="0.25">
      <c r="C16" t="s">
        <v>1</v>
      </c>
      <c r="D16">
        <v>2</v>
      </c>
      <c r="E16" s="14">
        <v>63.237899593643085</v>
      </c>
      <c r="F16" s="19"/>
      <c r="G16" s="19"/>
      <c r="H16" s="20"/>
      <c r="I16" s="14">
        <v>5.6128965683295693</v>
      </c>
      <c r="J16" s="19"/>
      <c r="K16" s="19"/>
      <c r="L16" s="20"/>
      <c r="M16" s="14">
        <v>0.17136417613842919</v>
      </c>
      <c r="N16" s="19"/>
      <c r="O16" s="19"/>
      <c r="P16" s="4"/>
      <c r="Q16" s="14">
        <v>2.1274494882320254</v>
      </c>
      <c r="R16" s="12"/>
      <c r="S16" s="12"/>
      <c r="T16" s="4"/>
      <c r="U16" s="14">
        <v>15.235958533763634</v>
      </c>
      <c r="V16" s="12"/>
      <c r="W16" s="12"/>
      <c r="X16" s="21"/>
      <c r="Y16" s="16">
        <v>0</v>
      </c>
      <c r="Z16" s="12"/>
      <c r="AA16" s="12"/>
      <c r="AB16" s="21"/>
      <c r="AC16" s="14">
        <v>24.048731322257485</v>
      </c>
      <c r="AD16" s="12"/>
      <c r="AE16" s="12"/>
      <c r="AF16" s="21"/>
      <c r="AG16" s="14">
        <v>7.1005917159763315E-2</v>
      </c>
      <c r="AH16" s="12"/>
      <c r="AI16" s="12"/>
      <c r="AJ16" s="7"/>
    </row>
    <row r="17" spans="2:36" ht="17" customHeight="1" x14ac:dyDescent="0.25">
      <c r="C17" t="s">
        <v>2</v>
      </c>
      <c r="D17">
        <v>2</v>
      </c>
      <c r="E17" s="14">
        <v>63.221066627924678</v>
      </c>
      <c r="F17" s="19"/>
      <c r="G17" s="19"/>
      <c r="H17" s="20"/>
      <c r="I17" s="14">
        <v>5.7308781544882317</v>
      </c>
      <c r="J17" s="19"/>
      <c r="K17" s="19"/>
      <c r="L17" s="20"/>
      <c r="M17" s="14">
        <v>0.18944332695150623</v>
      </c>
      <c r="N17" s="19"/>
      <c r="O17" s="19"/>
      <c r="P17" s="4"/>
      <c r="Q17" s="14">
        <v>2.1382697125400894</v>
      </c>
      <c r="R17" s="12"/>
      <c r="S17" s="12"/>
      <c r="T17" s="4"/>
      <c r="U17" s="14">
        <v>15.371400494641044</v>
      </c>
      <c r="V17" s="12"/>
      <c r="W17" s="12"/>
      <c r="X17" s="21"/>
      <c r="Y17" s="16">
        <v>0</v>
      </c>
      <c r="Z17" s="12"/>
      <c r="AA17" s="12"/>
      <c r="AB17" s="21"/>
      <c r="AC17" s="14">
        <v>24.57839222189293</v>
      </c>
      <c r="AD17" s="12"/>
      <c r="AE17" s="12"/>
      <c r="AF17" s="21"/>
      <c r="AG17" s="14">
        <v>7.5599579804502257E-2</v>
      </c>
      <c r="AH17" s="12"/>
      <c r="AI17" s="12"/>
      <c r="AJ17" s="7"/>
    </row>
    <row r="18" spans="2:36" ht="17" customHeight="1" x14ac:dyDescent="0.25">
      <c r="E18" s="4"/>
      <c r="F18" s="19"/>
      <c r="G18" s="19"/>
      <c r="H18" s="20"/>
      <c r="I18" s="4" t="s">
        <v>5</v>
      </c>
      <c r="J18" s="19"/>
      <c r="K18" s="19"/>
      <c r="L18" s="20"/>
      <c r="M18" s="4" t="s">
        <v>5</v>
      </c>
      <c r="N18" s="19"/>
      <c r="O18" s="19"/>
      <c r="P18" s="4"/>
      <c r="Q18" s="4" t="s">
        <v>5</v>
      </c>
      <c r="R18" s="12"/>
      <c r="S18" s="12"/>
      <c r="T18" s="4"/>
      <c r="U18" s="4" t="s">
        <v>5</v>
      </c>
      <c r="V18" s="12"/>
      <c r="W18" s="12"/>
      <c r="X18" s="21"/>
      <c r="Y18" s="16" t="s">
        <v>5</v>
      </c>
      <c r="Z18" s="12"/>
      <c r="AA18" s="12"/>
      <c r="AB18" s="21"/>
      <c r="AC18" s="14" t="s">
        <v>5</v>
      </c>
      <c r="AD18" s="12"/>
      <c r="AE18" s="12"/>
      <c r="AF18" s="21"/>
      <c r="AG18" s="4" t="s">
        <v>5</v>
      </c>
      <c r="AH18" s="12"/>
      <c r="AI18" s="12"/>
      <c r="AJ18" s="7"/>
    </row>
    <row r="19" spans="2:36" ht="17" customHeight="1" x14ac:dyDescent="0.25">
      <c r="B19">
        <v>5</v>
      </c>
      <c r="C19" t="s">
        <v>0</v>
      </c>
      <c r="D19">
        <v>3</v>
      </c>
      <c r="E19" s="14">
        <v>12.820190971443941</v>
      </c>
      <c r="F19" s="19">
        <f>AVERAGE(E19:E21)</f>
        <v>12.716337173682399</v>
      </c>
      <c r="G19" s="19">
        <f>STDEV(E19:E21)</f>
        <v>0.15826745469856277</v>
      </c>
      <c r="H19" s="20"/>
      <c r="I19" s="14">
        <v>7.8423357831615403</v>
      </c>
      <c r="J19" s="19">
        <f>AVERAGE(I19:I21)</f>
        <v>7.5696060783257098</v>
      </c>
      <c r="K19" s="19">
        <f>STDEV(I19:I21)</f>
        <v>0.2922402240813104</v>
      </c>
      <c r="L19" s="20"/>
      <c r="M19" s="14">
        <v>0.28192327266558426</v>
      </c>
      <c r="N19" s="19">
        <f>AVERAGE(M19:M21)</f>
        <v>0.27363497564403949</v>
      </c>
      <c r="O19" s="19">
        <f>STDEV(M19:M21)</f>
        <v>2.4208586763645207E-2</v>
      </c>
      <c r="P19" s="4"/>
      <c r="Q19" s="14">
        <v>3.8305332837741357</v>
      </c>
      <c r="R19" s="12">
        <f>AVERAGE(Q19:Q21)</f>
        <v>3.7600134947951567</v>
      </c>
      <c r="S19" s="12">
        <f>STDEV(Q19:Q21)</f>
        <v>0.1280531674893865</v>
      </c>
      <c r="T19" s="4"/>
      <c r="U19" s="14">
        <v>25.470580952867557</v>
      </c>
      <c r="V19" s="12">
        <f>AVERAGE(U19:U21)</f>
        <v>25.074784051025162</v>
      </c>
      <c r="W19" s="12">
        <f>STDEV(U19:U21)</f>
        <v>0.86497111394963977</v>
      </c>
      <c r="X19" s="21"/>
      <c r="Y19" s="16">
        <v>0</v>
      </c>
      <c r="Z19" s="12">
        <f>AVERAGE(Y19:Y21)</f>
        <v>0</v>
      </c>
      <c r="AA19" s="12">
        <f>STDEV(Y19:Y21)</f>
        <v>0</v>
      </c>
      <c r="AB19" s="21"/>
      <c r="AC19" s="14">
        <v>37.988952346194566</v>
      </c>
      <c r="AD19" s="12">
        <f>AVERAGE(AC19:AC21)</f>
        <v>37.235750754287167</v>
      </c>
      <c r="AE19" s="12">
        <f>STDEV(AC19:AC21)</f>
        <v>1.1041850480288531</v>
      </c>
      <c r="AF19" s="21"/>
      <c r="AG19" s="14">
        <v>9.955309716130642E-2</v>
      </c>
      <c r="AH19" s="12">
        <f>AVERAGE(AG19:AG21)</f>
        <v>9.6923907818128943E-2</v>
      </c>
      <c r="AI19" s="12">
        <f>STDEV(AG19:AG21)</f>
        <v>3.6446047267657965E-3</v>
      </c>
      <c r="AJ19" s="15"/>
    </row>
    <row r="20" spans="2:36" ht="17" customHeight="1" x14ac:dyDescent="0.25">
      <c r="C20" t="s">
        <v>1</v>
      </c>
      <c r="D20">
        <v>3</v>
      </c>
      <c r="E20" s="14">
        <v>12.534182095306406</v>
      </c>
      <c r="F20" s="19"/>
      <c r="G20" s="19"/>
      <c r="H20" s="20"/>
      <c r="I20" s="14">
        <v>7.2611417498882114</v>
      </c>
      <c r="J20" s="19"/>
      <c r="K20" s="19"/>
      <c r="L20" s="20"/>
      <c r="M20" s="14">
        <v>0.24637084070474763</v>
      </c>
      <c r="N20" s="19"/>
      <c r="O20" s="19"/>
      <c r="P20" s="4"/>
      <c r="Q20" s="14">
        <v>3.6122021310756516</v>
      </c>
      <c r="R20" s="12"/>
      <c r="S20" s="12"/>
      <c r="T20" s="4"/>
      <c r="U20" s="14">
        <v>24.082729672507721</v>
      </c>
      <c r="V20" s="12"/>
      <c r="W20" s="12"/>
      <c r="X20" s="21"/>
      <c r="Y20" s="16">
        <v>0</v>
      </c>
      <c r="Z20" s="12"/>
      <c r="AA20" s="12"/>
      <c r="AB20" s="21"/>
      <c r="AC20" s="14">
        <v>35.968229006872789</v>
      </c>
      <c r="AD20" s="12"/>
      <c r="AE20" s="12"/>
      <c r="AF20" s="21"/>
      <c r="AG20" s="14">
        <v>9.2763497593371824E-2</v>
      </c>
      <c r="AH20" s="12"/>
      <c r="AI20" s="12"/>
      <c r="AJ20" s="7"/>
    </row>
    <row r="21" spans="2:36" ht="17" customHeight="1" x14ac:dyDescent="0.25">
      <c r="C21" t="s">
        <v>2</v>
      </c>
      <c r="D21">
        <v>3</v>
      </c>
      <c r="E21" s="14">
        <v>12.794638454296855</v>
      </c>
      <c r="F21" s="19"/>
      <c r="G21" s="19"/>
      <c r="H21" s="20"/>
      <c r="I21" s="14">
        <v>7.6053407019273775</v>
      </c>
      <c r="J21" s="19"/>
      <c r="K21" s="19"/>
      <c r="L21" s="20"/>
      <c r="M21" s="14">
        <v>0.2926108135617867</v>
      </c>
      <c r="N21" s="19"/>
      <c r="O21" s="19"/>
      <c r="P21" s="4"/>
      <c r="Q21" s="14">
        <v>3.8373050695356818</v>
      </c>
      <c r="R21" s="12"/>
      <c r="S21" s="12"/>
      <c r="T21" s="4"/>
      <c r="U21" s="14">
        <v>25.671041527700211</v>
      </c>
      <c r="V21" s="12"/>
      <c r="W21" s="12"/>
      <c r="X21" s="21"/>
      <c r="Y21" s="16">
        <v>0</v>
      </c>
      <c r="Z21" s="12"/>
      <c r="AA21" s="12"/>
      <c r="AB21" s="21"/>
      <c r="AC21" s="14">
        <v>37.750070909794147</v>
      </c>
      <c r="AD21" s="12"/>
      <c r="AE21" s="12"/>
      <c r="AF21" s="21"/>
      <c r="AG21" s="14">
        <v>9.8455128699708599E-2</v>
      </c>
      <c r="AH21" s="12"/>
      <c r="AI21" s="12"/>
      <c r="AJ21" s="7"/>
    </row>
    <row r="22" spans="2:36" ht="17" customHeight="1" x14ac:dyDescent="0.25">
      <c r="E22" s="4"/>
      <c r="F22" s="19"/>
      <c r="G22" s="19"/>
      <c r="H22" s="20"/>
      <c r="I22" s="4" t="s">
        <v>5</v>
      </c>
      <c r="J22" s="19"/>
      <c r="K22" s="19"/>
      <c r="L22" s="20"/>
      <c r="M22" s="4" t="s">
        <v>5</v>
      </c>
      <c r="N22" s="19"/>
      <c r="O22" s="19"/>
      <c r="P22" s="4"/>
      <c r="Q22" s="4" t="s">
        <v>5</v>
      </c>
      <c r="R22" s="12"/>
      <c r="S22" s="12"/>
      <c r="T22" s="4"/>
      <c r="U22" s="4" t="s">
        <v>5</v>
      </c>
      <c r="V22" s="12"/>
      <c r="W22" s="12"/>
      <c r="X22" s="21"/>
      <c r="Y22" s="16" t="s">
        <v>5</v>
      </c>
      <c r="Z22" s="12"/>
      <c r="AA22" s="12"/>
      <c r="AB22" s="21"/>
      <c r="AC22" s="14" t="s">
        <v>5</v>
      </c>
      <c r="AD22" s="12"/>
      <c r="AE22" s="12"/>
      <c r="AF22" s="21"/>
      <c r="AG22" s="4" t="s">
        <v>5</v>
      </c>
      <c r="AH22" s="12"/>
      <c r="AI22" s="12"/>
      <c r="AJ22" s="7"/>
    </row>
    <row r="23" spans="2:36" ht="17" customHeight="1" x14ac:dyDescent="0.25">
      <c r="B23">
        <v>5</v>
      </c>
      <c r="C23" t="s">
        <v>0</v>
      </c>
      <c r="D23">
        <v>4</v>
      </c>
      <c r="E23" s="14">
        <v>8.3709149594297756</v>
      </c>
      <c r="F23" s="19">
        <f>AVERAGE(E23:E25)</f>
        <v>8.5559092063776685</v>
      </c>
      <c r="G23" s="19">
        <f>STDEV(E23:E25)</f>
        <v>0.16089127709744211</v>
      </c>
      <c r="H23" s="20"/>
      <c r="I23" s="14">
        <v>7.1086485432885809</v>
      </c>
      <c r="J23" s="19">
        <f>AVERAGE(I23:I25)</f>
        <v>6.8912788408987558</v>
      </c>
      <c r="K23" s="19">
        <f>STDEV(I23:I25)</f>
        <v>0.19711201371208686</v>
      </c>
      <c r="L23" s="20"/>
      <c r="M23" s="14">
        <v>0.1918183360395512</v>
      </c>
      <c r="N23" s="19">
        <f>AVERAGE(M23:M25)</f>
        <v>0.2024089377893028</v>
      </c>
      <c r="O23" s="19">
        <f>STDEV(M23:M25)</f>
        <v>1.0368042785776922E-2</v>
      </c>
      <c r="P23" s="4"/>
      <c r="Q23" s="14">
        <v>3.0669473716537956</v>
      </c>
      <c r="R23" s="12">
        <f>AVERAGE(Q23:Q25)</f>
        <v>3.1872068619317169</v>
      </c>
      <c r="S23" s="12">
        <f>STDEV(Q23:Q25)</f>
        <v>0.10418133201384505</v>
      </c>
      <c r="T23" s="4"/>
      <c r="U23" s="14">
        <v>20.282587487029748</v>
      </c>
      <c r="V23" s="12">
        <f>AVERAGE(U23:U25)</f>
        <v>20.996411390597832</v>
      </c>
      <c r="W23" s="12">
        <f>STDEV(U23:U25)</f>
        <v>0.62386179423781407</v>
      </c>
      <c r="X23" s="21"/>
      <c r="Y23" s="16">
        <v>0</v>
      </c>
      <c r="Z23" s="12">
        <f>AVERAGE(Y23:Y25)</f>
        <v>0</v>
      </c>
      <c r="AA23" s="12">
        <f>STDEV(Y23:Y25)</f>
        <v>0</v>
      </c>
      <c r="AB23" s="21"/>
      <c r="AC23" s="14">
        <v>29.280735524470916</v>
      </c>
      <c r="AD23" s="12">
        <f>AVERAGE(AC23:AC25)</f>
        <v>30.594771565874812</v>
      </c>
      <c r="AE23" s="12">
        <f>STDEV(AC23:AC25)</f>
        <v>1.1454053303177181</v>
      </c>
      <c r="AF23" s="21"/>
      <c r="AG23" s="14">
        <v>7.7118930756767345E-2</v>
      </c>
      <c r="AH23" s="12">
        <f>AVERAGE(AG23:AG25)</f>
        <v>7.9231778174760972E-2</v>
      </c>
      <c r="AI23" s="12">
        <f>STDEV(AG23:AG25)</f>
        <v>1.8618770207608588E-3</v>
      </c>
      <c r="AJ23" s="18"/>
    </row>
    <row r="24" spans="2:36" ht="17" customHeight="1" x14ac:dyDescent="0.25">
      <c r="C24" t="s">
        <v>1</v>
      </c>
      <c r="D24">
        <v>4</v>
      </c>
      <c r="E24" s="14">
        <v>8.633612767292778</v>
      </c>
      <c r="F24" s="19"/>
      <c r="G24" s="19"/>
      <c r="H24" s="20"/>
      <c r="I24" s="14">
        <v>6.8410401641881746</v>
      </c>
      <c r="J24" s="19"/>
      <c r="K24" s="19"/>
      <c r="L24" s="20"/>
      <c r="M24" s="14">
        <v>0.2028693987349442</v>
      </c>
      <c r="N24" s="19"/>
      <c r="O24" s="19"/>
      <c r="P24" s="4"/>
      <c r="Q24" s="14">
        <v>3.2499806926876555</v>
      </c>
      <c r="R24" s="12"/>
      <c r="S24" s="12"/>
      <c r="T24" s="4"/>
      <c r="U24" s="14">
        <v>21.437258521721311</v>
      </c>
      <c r="V24" s="12"/>
      <c r="W24" s="12"/>
      <c r="X24" s="21"/>
      <c r="Y24" s="16">
        <v>0</v>
      </c>
      <c r="Z24" s="12"/>
      <c r="AA24" s="12"/>
      <c r="AB24" s="21"/>
      <c r="AC24" s="14">
        <v>31.381925408466532</v>
      </c>
      <c r="AD24" s="12"/>
      <c r="AE24" s="12"/>
      <c r="AF24" s="21"/>
      <c r="AG24" s="14">
        <v>8.0632429833880345E-2</v>
      </c>
      <c r="AH24" s="12"/>
      <c r="AI24" s="12"/>
      <c r="AJ24" s="18"/>
    </row>
    <row r="25" spans="2:36" ht="17" customHeight="1" x14ac:dyDescent="0.25">
      <c r="C25" t="s">
        <v>2</v>
      </c>
      <c r="D25">
        <v>4</v>
      </c>
      <c r="E25" s="14">
        <v>8.6631998924104536</v>
      </c>
      <c r="F25" s="19"/>
      <c r="G25" s="19"/>
      <c r="H25" s="20"/>
      <c r="I25" s="14">
        <v>6.7241478152195109</v>
      </c>
      <c r="J25" s="19"/>
      <c r="K25" s="19"/>
      <c r="L25" s="20"/>
      <c r="M25" s="14">
        <v>0.21253907859341303</v>
      </c>
      <c r="N25" s="19"/>
      <c r="O25" s="19"/>
      <c r="P25" s="4"/>
      <c r="Q25" s="14">
        <v>3.2446925214536999</v>
      </c>
      <c r="R25" s="12"/>
      <c r="S25" s="12"/>
      <c r="T25" s="4"/>
      <c r="U25" s="14">
        <v>21.269388163042429</v>
      </c>
      <c r="V25" s="12"/>
      <c r="W25" s="12"/>
      <c r="X25" s="21"/>
      <c r="Y25" s="16">
        <v>0</v>
      </c>
      <c r="Z25" s="12"/>
      <c r="AA25" s="12"/>
      <c r="AB25" s="21"/>
      <c r="AC25" s="14">
        <v>31.121653764686986</v>
      </c>
      <c r="AD25" s="12"/>
      <c r="AE25" s="12"/>
      <c r="AF25" s="21"/>
      <c r="AG25" s="14">
        <v>7.9943973933635226E-2</v>
      </c>
      <c r="AH25" s="12"/>
      <c r="AI25" s="12"/>
      <c r="AJ25" s="18"/>
    </row>
    <row r="26" spans="2:36" ht="17" customHeight="1" x14ac:dyDescent="0.25">
      <c r="E26" s="4"/>
      <c r="F26" s="19"/>
      <c r="G26" s="19"/>
      <c r="H26" s="20"/>
      <c r="I26" s="4" t="s">
        <v>5</v>
      </c>
      <c r="J26" s="19"/>
      <c r="K26" s="19"/>
      <c r="L26" s="20"/>
      <c r="M26" s="4" t="s">
        <v>5</v>
      </c>
      <c r="N26" s="19"/>
      <c r="O26" s="19"/>
      <c r="P26" s="4"/>
      <c r="Q26" s="4" t="s">
        <v>5</v>
      </c>
      <c r="R26" s="12"/>
      <c r="S26" s="12"/>
      <c r="T26" s="4"/>
      <c r="U26" s="4" t="s">
        <v>5</v>
      </c>
      <c r="V26" s="12"/>
      <c r="W26" s="12"/>
      <c r="X26" s="21"/>
      <c r="Y26" s="16" t="s">
        <v>5</v>
      </c>
      <c r="Z26" s="12"/>
      <c r="AA26" s="12"/>
      <c r="AB26" s="21"/>
      <c r="AC26" s="14" t="s">
        <v>5</v>
      </c>
      <c r="AD26" s="12"/>
      <c r="AE26" s="12"/>
      <c r="AF26" s="21"/>
      <c r="AG26" s="4" t="s">
        <v>5</v>
      </c>
      <c r="AH26" s="12"/>
      <c r="AI26" s="12"/>
      <c r="AJ26" s="18"/>
    </row>
    <row r="27" spans="2:36" ht="17" customHeight="1" x14ac:dyDescent="0.25">
      <c r="B27">
        <v>5</v>
      </c>
      <c r="C27" t="s">
        <v>0</v>
      </c>
      <c r="D27">
        <v>5</v>
      </c>
      <c r="E27" s="14">
        <v>7.2676738243600658</v>
      </c>
      <c r="F27" s="19">
        <f>AVERAGE(E27:E29)</f>
        <v>7.2951689305300276</v>
      </c>
      <c r="G27" s="19">
        <f>STDEV(E27:E29)</f>
        <v>3.3010487548871335E-2</v>
      </c>
      <c r="H27" s="20"/>
      <c r="I27" s="14">
        <v>7.8345391380120857</v>
      </c>
      <c r="J27" s="19">
        <f>AVERAGE(I27:I29)</f>
        <v>5.9920657669949664</v>
      </c>
      <c r="K27" s="19">
        <f>STDEV(I27:I29)</f>
        <v>1.5989085609836806</v>
      </c>
      <c r="L27" s="20"/>
      <c r="M27" s="16">
        <v>0</v>
      </c>
      <c r="N27" s="19">
        <f>AVERAGE(M27:M29)</f>
        <v>0</v>
      </c>
      <c r="O27" s="19">
        <f>STDEV(M27:M29)</f>
        <v>0</v>
      </c>
      <c r="P27" s="4"/>
      <c r="Q27" s="14">
        <v>1.9905220290788459</v>
      </c>
      <c r="R27" s="12">
        <f>AVERAGE(Q27:Q29)</f>
        <v>2.0411640931863491</v>
      </c>
      <c r="S27" s="12">
        <f>STDEV(Q27:Q29)</f>
        <v>0.10838899546689441</v>
      </c>
      <c r="T27" s="4"/>
      <c r="U27" s="14">
        <v>13.385889311886201</v>
      </c>
      <c r="V27" s="12">
        <f>AVERAGE(U27:U29)</f>
        <v>13.753076729041465</v>
      </c>
      <c r="W27" s="12">
        <f>STDEV(U27:U29)</f>
        <v>0.69789337029062282</v>
      </c>
      <c r="X27" s="21"/>
      <c r="Y27" s="16">
        <v>0</v>
      </c>
      <c r="Z27" s="12">
        <f>AVERAGE(Y27:Y29)</f>
        <v>0</v>
      </c>
      <c r="AA27" s="12">
        <f>STDEV(Y27:Y29)</f>
        <v>0</v>
      </c>
      <c r="AB27" s="21"/>
      <c r="AC27" s="14">
        <v>18.475612649187521</v>
      </c>
      <c r="AD27" s="12">
        <f>AVERAGE(AC27:AC29)</f>
        <v>19.014680608901738</v>
      </c>
      <c r="AE27" s="12">
        <f>STDEV(AC27:AC29)</f>
        <v>1.1398319951577047</v>
      </c>
      <c r="AF27" s="21"/>
      <c r="AG27" s="14">
        <v>4.946793041847436E-2</v>
      </c>
      <c r="AH27" s="12">
        <f>AVERAGE(AG27:AG29)</f>
        <v>4.9786440188415347E-2</v>
      </c>
      <c r="AI27" s="12">
        <f>STDEV(AG27:AG29)</f>
        <v>2.2043607135155286E-3</v>
      </c>
      <c r="AJ27" s="18"/>
    </row>
    <row r="28" spans="2:36" ht="17" customHeight="1" x14ac:dyDescent="0.25">
      <c r="C28" t="s">
        <v>1</v>
      </c>
      <c r="D28">
        <v>5</v>
      </c>
      <c r="E28" s="14">
        <v>7.2860537051149867</v>
      </c>
      <c r="F28" s="19"/>
      <c r="G28" s="19"/>
      <c r="H28" s="20"/>
      <c r="I28" s="14">
        <v>5.1731887132095817</v>
      </c>
      <c r="J28" s="19"/>
      <c r="K28" s="19"/>
      <c r="L28" s="20"/>
      <c r="M28" s="16">
        <v>0</v>
      </c>
      <c r="N28" s="19"/>
      <c r="O28" s="19"/>
      <c r="P28" s="4"/>
      <c r="Q28" s="14">
        <v>2.1656048021237604</v>
      </c>
      <c r="R28" s="12"/>
      <c r="S28" s="12"/>
      <c r="T28" s="4"/>
      <c r="U28" s="14">
        <v>14.557907273944615</v>
      </c>
      <c r="V28" s="12"/>
      <c r="W28" s="12"/>
      <c r="X28" s="21"/>
      <c r="Y28" s="16">
        <v>0</v>
      </c>
      <c r="Z28" s="12"/>
      <c r="AA28" s="12"/>
      <c r="AB28" s="21"/>
      <c r="AC28" s="14">
        <v>20.32405653746661</v>
      </c>
      <c r="AD28" s="12"/>
      <c r="AE28" s="12"/>
      <c r="AF28" s="21"/>
      <c r="AG28" s="14">
        <v>5.2132729549595531E-2</v>
      </c>
      <c r="AH28" s="12"/>
      <c r="AI28" s="12"/>
      <c r="AJ28" s="18"/>
    </row>
    <row r="29" spans="2:36" ht="17" customHeight="1" x14ac:dyDescent="0.25">
      <c r="C29" t="s">
        <v>2</v>
      </c>
      <c r="D29">
        <v>5</v>
      </c>
      <c r="E29" s="14">
        <v>7.3317792621150311</v>
      </c>
      <c r="F29" s="19"/>
      <c r="G29" s="19"/>
      <c r="H29" s="20"/>
      <c r="I29" s="14">
        <v>4.9684694497632353</v>
      </c>
      <c r="J29" s="19"/>
      <c r="K29" s="19"/>
      <c r="L29" s="20"/>
      <c r="M29" s="16">
        <v>0</v>
      </c>
      <c r="N29" s="19"/>
      <c r="O29" s="19"/>
      <c r="P29" s="4"/>
      <c r="Q29" s="14">
        <v>1.9673654483564409</v>
      </c>
      <c r="R29" s="12"/>
      <c r="S29" s="12"/>
      <c r="T29" s="4"/>
      <c r="U29" s="14">
        <v>13.315433601293577</v>
      </c>
      <c r="V29" s="12"/>
      <c r="W29" s="12"/>
      <c r="X29" s="21"/>
      <c r="Y29" s="16">
        <v>0</v>
      </c>
      <c r="Z29" s="12"/>
      <c r="AA29" s="12"/>
      <c r="AB29" s="21"/>
      <c r="AC29" s="14">
        <v>18.244372640051086</v>
      </c>
      <c r="AD29" s="12"/>
      <c r="AE29" s="12"/>
      <c r="AF29" s="21"/>
      <c r="AG29" s="14">
        <v>4.775866059717615E-2</v>
      </c>
      <c r="AH29" s="12"/>
      <c r="AI29" s="12"/>
      <c r="AJ29" s="18"/>
    </row>
    <row r="30" spans="2:36" ht="17" customHeight="1" x14ac:dyDescent="0.25">
      <c r="E30" s="4"/>
      <c r="F30" s="19"/>
      <c r="G30" s="19"/>
      <c r="H30" s="20"/>
      <c r="I30" s="4" t="s">
        <v>5</v>
      </c>
      <c r="J30" s="19"/>
      <c r="K30" s="19"/>
      <c r="L30" s="20"/>
      <c r="M30" s="16" t="s">
        <v>5</v>
      </c>
      <c r="N30" s="19"/>
      <c r="O30" s="19"/>
      <c r="P30" s="4"/>
      <c r="Q30" s="4" t="s">
        <v>5</v>
      </c>
      <c r="R30" s="12"/>
      <c r="S30" s="12"/>
      <c r="T30" s="4"/>
      <c r="U30" s="4" t="s">
        <v>5</v>
      </c>
      <c r="V30" s="12"/>
      <c r="W30" s="12"/>
      <c r="X30" s="21"/>
      <c r="Y30" s="16" t="s">
        <v>5</v>
      </c>
      <c r="Z30" s="12"/>
      <c r="AA30" s="12"/>
      <c r="AB30" s="21"/>
      <c r="AC30" s="14" t="s">
        <v>5</v>
      </c>
      <c r="AD30" s="12"/>
      <c r="AE30" s="12"/>
      <c r="AF30" s="21"/>
      <c r="AG30" s="4" t="s">
        <v>5</v>
      </c>
      <c r="AH30" s="12"/>
      <c r="AI30" s="12"/>
      <c r="AJ30" s="18"/>
    </row>
    <row r="31" spans="2:36" ht="17" customHeight="1" x14ac:dyDescent="0.25">
      <c r="B31">
        <v>5</v>
      </c>
      <c r="C31" t="s">
        <v>0</v>
      </c>
      <c r="D31">
        <v>6</v>
      </c>
      <c r="E31" s="14">
        <v>6.4966154122024475</v>
      </c>
      <c r="F31" s="19">
        <f>AVERAGE(E31:E33)</f>
        <v>6.5039374785194495</v>
      </c>
      <c r="G31" s="19">
        <f>STDEV(E31:E33)</f>
        <v>0.17517196604898552</v>
      </c>
      <c r="H31" s="20"/>
      <c r="I31" s="14">
        <v>5.0835846222640102</v>
      </c>
      <c r="J31" s="19">
        <f>AVERAGE(I31:I33)</f>
        <v>4.5809876514899637</v>
      </c>
      <c r="K31" s="19">
        <f>STDEV(I31:I33)</f>
        <v>0.43831248556767599</v>
      </c>
      <c r="L31" s="20"/>
      <c r="M31" s="16">
        <v>0</v>
      </c>
      <c r="N31" s="19">
        <f>AVERAGE(M31:M33)</f>
        <v>0</v>
      </c>
      <c r="O31" s="19">
        <f>STDEV(M31:M33)</f>
        <v>0</v>
      </c>
      <c r="P31" s="4"/>
      <c r="Q31" s="14">
        <v>1.6180128417337845</v>
      </c>
      <c r="R31" s="12">
        <f>AVERAGE(Q31:Q33)</f>
        <v>1.6454427742552926</v>
      </c>
      <c r="S31" s="12">
        <f>STDEV(Q31:Q33)</f>
        <v>4.2433990328734406E-2</v>
      </c>
      <c r="T31" s="4"/>
      <c r="U31" s="14">
        <v>11.237232866339717</v>
      </c>
      <c r="V31" s="12">
        <f>AVERAGE(U31:U33)</f>
        <v>11.38023713821474</v>
      </c>
      <c r="W31" s="12">
        <f>STDEV(U31:U33)</f>
        <v>0.23285680088158067</v>
      </c>
      <c r="X31" s="21"/>
      <c r="Y31" s="16">
        <v>0</v>
      </c>
      <c r="Z31" s="12">
        <f>AVERAGE(Y31:Y33)</f>
        <v>0</v>
      </c>
      <c r="AA31" s="12">
        <f>STDEV(Y31:Y33)</f>
        <v>0</v>
      </c>
      <c r="AB31" s="21"/>
      <c r="AC31" s="14">
        <v>14.901653439258755</v>
      </c>
      <c r="AD31" s="12">
        <f>AVERAGE(AC31:AC33)</f>
        <v>15.158673617144407</v>
      </c>
      <c r="AE31" s="12">
        <f>STDEV(AC31:AC33)</f>
        <v>0.44833414858832571</v>
      </c>
      <c r="AF31" s="21"/>
      <c r="AG31" s="14">
        <v>4.0880036559382285E-2</v>
      </c>
      <c r="AH31" s="12">
        <f>AVERAGE(AG31:AG33)</f>
        <v>4.1153044933617419E-2</v>
      </c>
      <c r="AI31" s="12">
        <f>STDEV(AG31:AG33)</f>
        <v>1.0362761011270866E-3</v>
      </c>
      <c r="AJ31" s="18"/>
    </row>
    <row r="32" spans="2:36" ht="17" customHeight="1" x14ac:dyDescent="0.25">
      <c r="C32" t="s">
        <v>1</v>
      </c>
      <c r="D32">
        <v>6</v>
      </c>
      <c r="E32" s="14">
        <v>6.6826556686241991</v>
      </c>
      <c r="F32" s="19"/>
      <c r="G32" s="19"/>
      <c r="H32" s="20"/>
      <c r="I32" s="14">
        <v>4.3813132760814995</v>
      </c>
      <c r="J32" s="19"/>
      <c r="K32" s="19"/>
      <c r="L32" s="20"/>
      <c r="M32" s="16">
        <v>0</v>
      </c>
      <c r="N32" s="19"/>
      <c r="O32" s="19"/>
      <c r="P32" s="4"/>
      <c r="Q32" s="14">
        <v>1.6943194048199195</v>
      </c>
      <c r="R32" s="4"/>
      <c r="S32" s="4"/>
      <c r="T32" s="4"/>
      <c r="U32" s="14">
        <v>11.648931118268395</v>
      </c>
      <c r="V32" s="4"/>
      <c r="W32" s="4"/>
      <c r="X32" s="21"/>
      <c r="Y32" s="16">
        <v>0</v>
      </c>
      <c r="Z32" s="4"/>
      <c r="AA32" s="4"/>
      <c r="AB32" s="21"/>
      <c r="AC32" s="14">
        <v>15.676361017746249</v>
      </c>
      <c r="AD32" s="4"/>
      <c r="AE32" s="4"/>
      <c r="AF32" s="21"/>
      <c r="AG32" s="14">
        <v>4.2298493112473516E-2</v>
      </c>
      <c r="AJ32" s="7"/>
    </row>
    <row r="33" spans="1:36" ht="17" customHeight="1" x14ac:dyDescent="0.25">
      <c r="C33" t="s">
        <v>2</v>
      </c>
      <c r="D33">
        <v>6</v>
      </c>
      <c r="E33" s="14">
        <v>6.3325413547316991</v>
      </c>
      <c r="F33" s="19"/>
      <c r="G33" s="19"/>
      <c r="H33" s="20"/>
      <c r="I33" s="14">
        <v>4.2780650561243814</v>
      </c>
      <c r="J33" s="19"/>
      <c r="K33" s="19"/>
      <c r="L33" s="20"/>
      <c r="M33" s="16">
        <v>0</v>
      </c>
      <c r="N33" s="19"/>
      <c r="O33" s="19"/>
      <c r="P33" s="4"/>
      <c r="Q33" s="14">
        <v>1.6239960762121732</v>
      </c>
      <c r="R33" s="4"/>
      <c r="S33" s="4"/>
      <c r="T33" s="4"/>
      <c r="U33" s="14">
        <v>11.254547430036112</v>
      </c>
      <c r="V33" s="4"/>
      <c r="W33" s="4"/>
      <c r="X33" s="21"/>
      <c r="Y33" s="16">
        <v>0</v>
      </c>
      <c r="Z33" s="4"/>
      <c r="AA33" s="4"/>
      <c r="AB33" s="21"/>
      <c r="AC33" s="14">
        <v>14.898006394428213</v>
      </c>
      <c r="AD33" s="4"/>
      <c r="AE33" s="4"/>
      <c r="AF33" s="21"/>
      <c r="AG33" s="14">
        <v>4.0280605128996463E-2</v>
      </c>
      <c r="AJ33" s="7"/>
    </row>
    <row r="34" spans="1:36" x14ac:dyDescent="0.2">
      <c r="E34"/>
      <c r="F34"/>
      <c r="G34"/>
      <c r="H34"/>
    </row>
    <row r="35" spans="1:36" ht="16" x14ac:dyDescent="0.2">
      <c r="A35" s="1"/>
      <c r="E35"/>
      <c r="F35"/>
      <c r="G35"/>
      <c r="H35"/>
      <c r="I35"/>
      <c r="J35"/>
      <c r="M35" s="17" t="s">
        <v>13</v>
      </c>
      <c r="Y35" s="17" t="s">
        <v>14</v>
      </c>
      <c r="AC35" s="17" t="s">
        <v>13</v>
      </c>
    </row>
    <row r="36" spans="1:36" x14ac:dyDescent="0.2">
      <c r="E36"/>
      <c r="F36"/>
      <c r="G36"/>
      <c r="H36"/>
    </row>
    <row r="37" spans="1:36" x14ac:dyDescent="0.2">
      <c r="E37"/>
      <c r="F37"/>
      <c r="G37"/>
      <c r="H37"/>
    </row>
    <row r="38" spans="1:36" x14ac:dyDescent="0.2">
      <c r="E38"/>
      <c r="F38"/>
      <c r="G38"/>
      <c r="H38"/>
    </row>
    <row r="39" spans="1:36" x14ac:dyDescent="0.2">
      <c r="E39"/>
      <c r="F39"/>
      <c r="G39"/>
      <c r="H39"/>
    </row>
    <row r="40" spans="1:36" x14ac:dyDescent="0.2">
      <c r="E40"/>
      <c r="F40"/>
      <c r="G40"/>
      <c r="H40"/>
    </row>
    <row r="41" spans="1:36" x14ac:dyDescent="0.2">
      <c r="E41"/>
      <c r="F41"/>
      <c r="G41"/>
      <c r="H41"/>
    </row>
    <row r="42" spans="1:36" x14ac:dyDescent="0.2">
      <c r="E42"/>
      <c r="F42"/>
      <c r="G42"/>
      <c r="H42"/>
    </row>
    <row r="43" spans="1:36" x14ac:dyDescent="0.2">
      <c r="E43"/>
      <c r="F43"/>
      <c r="G43"/>
      <c r="H43"/>
    </row>
    <row r="44" spans="1:36" x14ac:dyDescent="0.2">
      <c r="E44"/>
      <c r="F44"/>
      <c r="G44"/>
      <c r="H44"/>
    </row>
    <row r="45" spans="1:36" x14ac:dyDescent="0.2">
      <c r="E45"/>
      <c r="F45"/>
      <c r="G45"/>
      <c r="H45"/>
    </row>
    <row r="46" spans="1:36" x14ac:dyDescent="0.2">
      <c r="E46"/>
      <c r="F46"/>
      <c r="G46"/>
      <c r="H46"/>
    </row>
  </sheetData>
  <printOptions gridLines="1"/>
  <pageMargins left="0.25" right="0.25" top="0.75" bottom="0.75" header="0.3" footer="0.3"/>
  <pageSetup paperSize="17" scale="44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6D0D6-905F-40A1-A078-8B32840CDDDD}">
  <sheetPr>
    <pageSetUpPr fitToPage="1"/>
  </sheetPr>
  <dimension ref="A4:AJ48"/>
  <sheetViews>
    <sheetView workbookViewId="0">
      <selection activeCell="Z11" sqref="Z11:AA11"/>
    </sheetView>
  </sheetViews>
  <sheetFormatPr baseColWidth="10" defaultColWidth="8.83203125" defaultRowHeight="15" x14ac:dyDescent="0.2"/>
  <cols>
    <col min="2" max="2" width="7.5" customWidth="1"/>
    <col min="3" max="4" width="3.5" customWidth="1"/>
    <col min="5" max="5" width="10" style="3" customWidth="1"/>
    <col min="6" max="6" width="13.83203125" style="3" customWidth="1"/>
    <col min="7" max="7" width="10" style="3" customWidth="1"/>
    <col min="8" max="8" width="2.5" style="5" customWidth="1"/>
    <col min="9" max="9" width="11.83203125" style="5" customWidth="1"/>
    <col min="10" max="11" width="7.6640625" style="5" customWidth="1"/>
    <col min="12" max="12" width="2.5" style="5" customWidth="1"/>
    <col min="13" max="13" width="10.5" style="5" customWidth="1"/>
    <col min="14" max="15" width="8.1640625" style="5" customWidth="1"/>
    <col min="16" max="16" width="2" customWidth="1"/>
    <col min="20" max="20" width="2.33203125" customWidth="1"/>
    <col min="22" max="23" width="9.1640625" style="8"/>
    <col min="24" max="24" width="2" customWidth="1"/>
    <col min="28" max="28" width="1.5" customWidth="1"/>
    <col min="30" max="31" width="9.1640625" style="8"/>
    <col min="32" max="32" width="1.5" customWidth="1"/>
    <col min="34" max="35" width="9.1640625" style="4"/>
    <col min="36" max="36" width="1.83203125" style="5" customWidth="1"/>
  </cols>
  <sheetData>
    <row r="4" spans="1:36" x14ac:dyDescent="0.2">
      <c r="E4" s="3" t="s">
        <v>5</v>
      </c>
    </row>
    <row r="6" spans="1:36" x14ac:dyDescent="0.2">
      <c r="B6" s="2" t="s">
        <v>7</v>
      </c>
    </row>
    <row r="7" spans="1:36" x14ac:dyDescent="0.2">
      <c r="E7" s="6" t="s">
        <v>5</v>
      </c>
      <c r="F7" s="6"/>
      <c r="G7" s="6"/>
      <c r="H7" s="7"/>
      <c r="I7" s="7" t="s">
        <v>5</v>
      </c>
      <c r="J7" s="7"/>
      <c r="K7" s="7"/>
      <c r="L7" s="7"/>
      <c r="M7" s="7" t="s">
        <v>5</v>
      </c>
    </row>
    <row r="8" spans="1:36" ht="16" x14ac:dyDescent="0.2">
      <c r="A8" s="1"/>
      <c r="E8" t="s">
        <v>15</v>
      </c>
      <c r="I8" t="s">
        <v>16</v>
      </c>
      <c r="J8" s="7"/>
      <c r="K8" s="7"/>
      <c r="M8" t="s">
        <v>17</v>
      </c>
      <c r="Q8" t="s">
        <v>18</v>
      </c>
      <c r="R8" s="9"/>
      <c r="S8" s="9"/>
      <c r="U8" t="s">
        <v>19</v>
      </c>
      <c r="V8" s="10"/>
      <c r="W8" s="10"/>
      <c r="Y8" t="s">
        <v>20</v>
      </c>
      <c r="Z8" s="9"/>
      <c r="AA8" s="9"/>
      <c r="AC8" s="11" t="s">
        <v>21</v>
      </c>
      <c r="AD8" s="10"/>
      <c r="AE8" s="10"/>
      <c r="AG8" t="s">
        <v>22</v>
      </c>
      <c r="AH8" s="12"/>
      <c r="AI8" s="12"/>
    </row>
    <row r="9" spans="1:36" s="13" customFormat="1" ht="17" customHeight="1" x14ac:dyDescent="0.25">
      <c r="A9" s="1"/>
      <c r="B9"/>
      <c r="C9"/>
      <c r="D9"/>
      <c r="E9" t="s">
        <v>12</v>
      </c>
      <c r="F9" s="6" t="s">
        <v>3</v>
      </c>
      <c r="G9" s="6" t="s">
        <v>4</v>
      </c>
      <c r="H9" s="5" t="s">
        <v>5</v>
      </c>
      <c r="I9" t="s">
        <v>12</v>
      </c>
      <c r="J9" s="7" t="s">
        <v>3</v>
      </c>
      <c r="K9" s="7" t="s">
        <v>4</v>
      </c>
      <c r="L9" s="5" t="s">
        <v>5</v>
      </c>
      <c r="M9" t="s">
        <v>12</v>
      </c>
      <c r="N9" s="7" t="s">
        <v>3</v>
      </c>
      <c r="O9" s="7" t="s">
        <v>4</v>
      </c>
      <c r="P9"/>
      <c r="Q9" t="s">
        <v>12</v>
      </c>
      <c r="R9" s="9" t="s">
        <v>3</v>
      </c>
      <c r="S9" s="9" t="s">
        <v>4</v>
      </c>
      <c r="T9"/>
      <c r="U9" t="s">
        <v>12</v>
      </c>
      <c r="V9" s="10" t="s">
        <v>3</v>
      </c>
      <c r="W9" s="10" t="s">
        <v>4</v>
      </c>
      <c r="Y9" t="s">
        <v>12</v>
      </c>
      <c r="Z9" s="9" t="s">
        <v>3</v>
      </c>
      <c r="AA9" s="9" t="s">
        <v>4</v>
      </c>
      <c r="AC9" s="11" t="s">
        <v>12</v>
      </c>
      <c r="AD9" s="10" t="s">
        <v>3</v>
      </c>
      <c r="AE9" s="10" t="s">
        <v>4</v>
      </c>
      <c r="AG9" t="s">
        <v>12</v>
      </c>
      <c r="AH9" s="12" t="s">
        <v>3</v>
      </c>
      <c r="AI9" s="12" t="s">
        <v>4</v>
      </c>
      <c r="AJ9" s="7"/>
    </row>
    <row r="10" spans="1:36" ht="17" customHeight="1" x14ac:dyDescent="0.25">
      <c r="E10"/>
      <c r="F10" s="6"/>
      <c r="G10" s="6"/>
      <c r="I10"/>
      <c r="J10" s="7"/>
      <c r="K10" s="7"/>
      <c r="M10"/>
      <c r="N10" s="7"/>
      <c r="O10" s="7"/>
      <c r="X10" s="13"/>
      <c r="AB10" s="13"/>
      <c r="AC10" s="11"/>
      <c r="AF10" s="13"/>
      <c r="AJ10" s="7"/>
    </row>
    <row r="11" spans="1:36" ht="17" customHeight="1" x14ac:dyDescent="0.25">
      <c r="B11">
        <v>25</v>
      </c>
      <c r="C11" t="s">
        <v>0</v>
      </c>
      <c r="D11">
        <v>1</v>
      </c>
      <c r="E11" s="14">
        <v>3978.1368998901426</v>
      </c>
      <c r="F11" s="19">
        <f>AVERAGE(E11:E13)</f>
        <v>3968.5228955409943</v>
      </c>
      <c r="G11" s="19">
        <f>STDEV(E11:E13)</f>
        <v>14.133162201794141</v>
      </c>
      <c r="H11" s="20"/>
      <c r="I11" s="14">
        <v>21.455335542382791</v>
      </c>
      <c r="J11" s="19">
        <f>AVERAGE(I11:I13)</f>
        <v>21.343679175695872</v>
      </c>
      <c r="K11" s="19">
        <f>STDEV(I11:I13)</f>
        <v>0.16744267036470281</v>
      </c>
      <c r="L11" s="20"/>
      <c r="M11" s="14">
        <v>25.245387647196317</v>
      </c>
      <c r="N11" s="19">
        <f>AVERAGE(M11:M13)</f>
        <v>25.449521368485815</v>
      </c>
      <c r="O11" s="19">
        <f>STDEV(M11:M13)</f>
        <v>0.22725712452543195</v>
      </c>
      <c r="P11" s="4"/>
      <c r="Q11" s="14">
        <v>15.21557573953781</v>
      </c>
      <c r="R11" s="12">
        <f>AVERAGE(Q11:Q13)</f>
        <v>15.271720048938954</v>
      </c>
      <c r="S11" s="12">
        <f>STDEV(Q11:Q13)</f>
        <v>9.288630853446507E-2</v>
      </c>
      <c r="T11" s="4"/>
      <c r="U11" s="14">
        <v>4.7947588061100106</v>
      </c>
      <c r="V11" s="12">
        <f>AVERAGE(U11:U13)</f>
        <v>4.7729241164392917</v>
      </c>
      <c r="W11" s="12">
        <f>STDEV(U11:U13)</f>
        <v>1.9157716576688254E-2</v>
      </c>
      <c r="X11" s="21"/>
      <c r="Y11" s="14">
        <v>1.485148514851486</v>
      </c>
      <c r="Z11" s="12">
        <f>AVERAGE(Y11:Y13)</f>
        <v>1.3795379537953798</v>
      </c>
      <c r="AA11" s="12">
        <f>STDEV(Y11:Y13)</f>
        <v>9.6163711447746075E-2</v>
      </c>
      <c r="AB11" s="21"/>
      <c r="AC11" s="14">
        <v>0.17942426749593451</v>
      </c>
      <c r="AD11" s="12">
        <f>AVERAGE(AC11:AC13)</f>
        <v>0.16428442364934906</v>
      </c>
      <c r="AE11" s="12">
        <f>STDEV(AC11:AC13)</f>
        <v>1.8713266216324596E-2</v>
      </c>
      <c r="AF11" s="21"/>
      <c r="AG11" s="14">
        <v>0.43424355907960566</v>
      </c>
      <c r="AH11" s="12">
        <f>AVERAGE(AG11:AG13)</f>
        <v>0.42745395951167109</v>
      </c>
      <c r="AI11" s="12">
        <f>STDEV(AG11:AG13)</f>
        <v>6.7955423076502463E-3</v>
      </c>
      <c r="AJ11" s="15"/>
    </row>
    <row r="12" spans="1:36" ht="17" customHeight="1" x14ac:dyDescent="0.25">
      <c r="C12" t="s">
        <v>1</v>
      </c>
      <c r="D12">
        <v>1</v>
      </c>
      <c r="E12" s="14">
        <v>3952.2955403025635</v>
      </c>
      <c r="F12" s="19"/>
      <c r="G12" s="19"/>
      <c r="H12" s="20"/>
      <c r="I12" s="14">
        <v>21.15115172500774</v>
      </c>
      <c r="J12" s="19"/>
      <c r="K12" s="19"/>
      <c r="L12" s="20"/>
      <c r="M12" s="14">
        <v>25.694391830352465</v>
      </c>
      <c r="N12" s="19"/>
      <c r="O12" s="19"/>
      <c r="P12" s="4"/>
      <c r="Q12" s="14">
        <v>15.378935925466097</v>
      </c>
      <c r="R12" s="12"/>
      <c r="S12" s="12"/>
      <c r="T12" s="4"/>
      <c r="U12" s="14">
        <v>4.7589322229101789</v>
      </c>
      <c r="V12" s="12"/>
      <c r="W12" s="12"/>
      <c r="X12" s="21"/>
      <c r="Y12" s="14">
        <v>1.3564356435643568</v>
      </c>
      <c r="Z12" s="12"/>
      <c r="AA12" s="12"/>
      <c r="AB12" s="21"/>
      <c r="AC12" s="14">
        <v>0.17006647456563298</v>
      </c>
      <c r="AD12" s="12"/>
      <c r="AE12" s="12"/>
      <c r="AF12" s="21"/>
      <c r="AG12" s="14">
        <v>0.42746582944098566</v>
      </c>
      <c r="AH12" s="12"/>
      <c r="AI12" s="12"/>
      <c r="AJ12" s="7"/>
    </row>
    <row r="13" spans="1:36" ht="17" customHeight="1" x14ac:dyDescent="0.25">
      <c r="C13" t="s">
        <v>2</v>
      </c>
      <c r="D13">
        <v>1</v>
      </c>
      <c r="E13" s="14">
        <v>3975.136246430277</v>
      </c>
      <c r="F13" s="19"/>
      <c r="G13" s="19"/>
      <c r="H13" s="20"/>
      <c r="I13" s="14">
        <v>21.424550259697078</v>
      </c>
      <c r="J13" s="19"/>
      <c r="K13" s="19"/>
      <c r="L13" s="20"/>
      <c r="M13" s="14">
        <v>25.408784627908663</v>
      </c>
      <c r="N13" s="19"/>
      <c r="O13" s="19"/>
      <c r="P13" s="4"/>
      <c r="Q13" s="14">
        <v>15.220648481812962</v>
      </c>
      <c r="R13" s="12"/>
      <c r="S13" s="12"/>
      <c r="T13" s="4"/>
      <c r="U13" s="14">
        <v>4.7650813202976847</v>
      </c>
      <c r="V13" s="12"/>
      <c r="W13" s="12"/>
      <c r="X13" s="21"/>
      <c r="Y13" s="14">
        <v>1.2970297029702971</v>
      </c>
      <c r="Z13" s="12"/>
      <c r="AA13" s="12"/>
      <c r="AB13" s="21"/>
      <c r="AC13" s="14">
        <v>0.14336252888647971</v>
      </c>
      <c r="AD13" s="12"/>
      <c r="AE13" s="12"/>
      <c r="AF13" s="21"/>
      <c r="AG13" s="14">
        <v>0.42065249001442201</v>
      </c>
      <c r="AH13" s="12"/>
      <c r="AI13" s="12"/>
      <c r="AJ13" s="7"/>
    </row>
    <row r="14" spans="1:36" ht="17" customHeight="1" x14ac:dyDescent="0.25">
      <c r="E14" s="4"/>
      <c r="F14" s="19"/>
      <c r="G14" s="19"/>
      <c r="H14" s="20"/>
      <c r="I14" s="4"/>
      <c r="J14" s="19"/>
      <c r="K14" s="19"/>
      <c r="L14" s="20"/>
      <c r="M14" s="4"/>
      <c r="N14" s="19"/>
      <c r="O14" s="19"/>
      <c r="P14" s="4"/>
      <c r="Q14" s="4"/>
      <c r="R14" s="12"/>
      <c r="S14" s="12"/>
      <c r="T14" s="4"/>
      <c r="U14" s="4"/>
      <c r="V14" s="12"/>
      <c r="W14" s="12"/>
      <c r="X14" s="21"/>
      <c r="Y14" s="16"/>
      <c r="Z14" s="12"/>
      <c r="AA14" s="12"/>
      <c r="AB14" s="21"/>
      <c r="AC14" s="14"/>
      <c r="AD14" s="12"/>
      <c r="AE14" s="12"/>
      <c r="AF14" s="21"/>
      <c r="AG14" s="4"/>
      <c r="AH14" s="12"/>
      <c r="AI14" s="12"/>
      <c r="AJ14" s="7"/>
    </row>
    <row r="15" spans="1:36" ht="17" customHeight="1" x14ac:dyDescent="0.25">
      <c r="B15">
        <v>25</v>
      </c>
      <c r="C15" t="s">
        <v>0</v>
      </c>
      <c r="D15">
        <v>2</v>
      </c>
      <c r="E15" s="14">
        <v>295.39921172051436</v>
      </c>
      <c r="F15" s="19">
        <f>AVERAGE(E15:E17)</f>
        <v>297.03793340034645</v>
      </c>
      <c r="G15" s="19">
        <f>STDEV(E15:E17)</f>
        <v>7.984926393560098</v>
      </c>
      <c r="H15" s="20"/>
      <c r="I15" s="14">
        <v>4.3602737998326031</v>
      </c>
      <c r="J15" s="19">
        <f>AVERAGE(I15:I17)</f>
        <v>4.5591073605680865</v>
      </c>
      <c r="K15" s="19">
        <f>STDEV(I15:I17)</f>
        <v>0.4537838078092557</v>
      </c>
      <c r="L15" s="20"/>
      <c r="M15" s="14">
        <v>2.4137847466253096E-2</v>
      </c>
      <c r="N15" s="19">
        <f>AVERAGE(M15:M17)</f>
        <v>4.3452972396578082E-2</v>
      </c>
      <c r="O15" s="19">
        <f>STDEV(M15:M17)</f>
        <v>1.6779452912320823E-2</v>
      </c>
      <c r="P15" s="4"/>
      <c r="Q15" s="14">
        <v>1.1076575736376391</v>
      </c>
      <c r="R15" s="12">
        <f>AVERAGE(Q15:Q17)</f>
        <v>1.1129863918449541</v>
      </c>
      <c r="S15" s="12">
        <f>STDEV(Q15:Q17)</f>
        <v>0.23924585439435897</v>
      </c>
      <c r="T15" s="4"/>
      <c r="U15" s="14">
        <v>8.412725890565536</v>
      </c>
      <c r="V15" s="12">
        <f>AVERAGE(U15:U17)</f>
        <v>8.4789311724376706</v>
      </c>
      <c r="W15" s="12">
        <f>STDEV(U15:U17)</f>
        <v>1.6354839497983302</v>
      </c>
      <c r="X15" s="21"/>
      <c r="Y15" s="16">
        <v>0</v>
      </c>
      <c r="Z15" s="12">
        <f>AVERAGE(Y15:Y17)</f>
        <v>0</v>
      </c>
      <c r="AA15" s="12">
        <f>STDEV(Y15:Y17)</f>
        <v>0</v>
      </c>
      <c r="AB15" s="21"/>
      <c r="AC15" s="14">
        <v>12.838236519579455</v>
      </c>
      <c r="AD15" s="12">
        <f>AVERAGE(AC15:AC17)</f>
        <v>12.85414651144602</v>
      </c>
      <c r="AE15" s="12">
        <f>STDEV(AC15:AC17)</f>
        <v>2.6394688800422617</v>
      </c>
      <c r="AF15" s="21"/>
      <c r="AG15" s="14">
        <v>4.8648905295768971E-2</v>
      </c>
      <c r="AH15" s="12">
        <f>AVERAGE(AG15:AG17)</f>
        <v>4.7307603283222449E-2</v>
      </c>
      <c r="AI15" s="12">
        <f>STDEV(AG15:AG17)</f>
        <v>6.467453285264874E-3</v>
      </c>
      <c r="AJ15" s="15"/>
    </row>
    <row r="16" spans="1:36" ht="17" customHeight="1" x14ac:dyDescent="0.25">
      <c r="C16" t="s">
        <v>1</v>
      </c>
      <c r="D16">
        <v>2</v>
      </c>
      <c r="E16" s="14">
        <v>289.99949601476641</v>
      </c>
      <c r="F16" s="19"/>
      <c r="G16" s="19"/>
      <c r="H16" s="20"/>
      <c r="I16" s="14">
        <v>5.0783677494066541</v>
      </c>
      <c r="J16" s="19"/>
      <c r="K16" s="19"/>
      <c r="L16" s="20"/>
      <c r="M16" s="14">
        <v>5.17897389913482E-2</v>
      </c>
      <c r="N16" s="19"/>
      <c r="O16" s="19"/>
      <c r="P16" s="4"/>
      <c r="Q16" s="14">
        <v>1.3548521421180793</v>
      </c>
      <c r="R16" s="12"/>
      <c r="S16" s="12"/>
      <c r="T16" s="4"/>
      <c r="U16" s="14">
        <v>10.146512444478207</v>
      </c>
      <c r="V16" s="12"/>
      <c r="W16" s="12"/>
      <c r="X16" s="21"/>
      <c r="Y16" s="16">
        <v>0</v>
      </c>
      <c r="Z16" s="12"/>
      <c r="AA16" s="12"/>
      <c r="AB16" s="21"/>
      <c r="AC16" s="14">
        <v>15.50153442428223</v>
      </c>
      <c r="AD16" s="12"/>
      <c r="AE16" s="12"/>
      <c r="AF16" s="21"/>
      <c r="AG16" s="14">
        <v>5.2999234389559211E-2</v>
      </c>
      <c r="AH16" s="12"/>
      <c r="AI16" s="12"/>
      <c r="AJ16" s="7"/>
    </row>
    <row r="17" spans="2:36" ht="17" customHeight="1" x14ac:dyDescent="0.25">
      <c r="C17" t="s">
        <v>2</v>
      </c>
      <c r="D17">
        <v>2</v>
      </c>
      <c r="E17" s="14">
        <v>305.71509246575852</v>
      </c>
      <c r="F17" s="19"/>
      <c r="G17" s="19"/>
      <c r="H17" s="20"/>
      <c r="I17" s="14">
        <v>4.2386805324650023</v>
      </c>
      <c r="J17" s="19"/>
      <c r="K17" s="19"/>
      <c r="L17" s="20"/>
      <c r="M17" s="14">
        <v>5.4431330732132951E-2</v>
      </c>
      <c r="N17" s="19"/>
      <c r="O17" s="19"/>
      <c r="P17" s="4"/>
      <c r="Q17" s="14">
        <v>0.87644945977914379</v>
      </c>
      <c r="R17" s="12"/>
      <c r="S17" s="12"/>
      <c r="T17" s="4"/>
      <c r="U17" s="14">
        <v>6.8775551822692691</v>
      </c>
      <c r="V17" s="12"/>
      <c r="W17" s="12"/>
      <c r="X17" s="21"/>
      <c r="Y17" s="16">
        <v>0</v>
      </c>
      <c r="Z17" s="12"/>
      <c r="AA17" s="12"/>
      <c r="AB17" s="21"/>
      <c r="AC17" s="14">
        <v>10.222668590476374</v>
      </c>
      <c r="AD17" s="12"/>
      <c r="AE17" s="12"/>
      <c r="AF17" s="21"/>
      <c r="AG17" s="14">
        <v>4.0274670164339173E-2</v>
      </c>
      <c r="AH17" s="12"/>
      <c r="AI17" s="12"/>
      <c r="AJ17" s="7"/>
    </row>
    <row r="18" spans="2:36" ht="17" customHeight="1" x14ac:dyDescent="0.25">
      <c r="E18" s="4"/>
      <c r="F18" s="19"/>
      <c r="G18" s="19"/>
      <c r="H18" s="20"/>
      <c r="I18" s="4" t="s">
        <v>5</v>
      </c>
      <c r="J18" s="19"/>
      <c r="K18" s="19"/>
      <c r="L18" s="20"/>
      <c r="M18" s="4" t="s">
        <v>5</v>
      </c>
      <c r="N18" s="19"/>
      <c r="O18" s="19"/>
      <c r="P18" s="4"/>
      <c r="Q18" s="4" t="s">
        <v>5</v>
      </c>
      <c r="R18" s="12"/>
      <c r="S18" s="12"/>
      <c r="T18" s="4"/>
      <c r="U18" s="4" t="s">
        <v>5</v>
      </c>
      <c r="V18" s="12"/>
      <c r="W18" s="12"/>
      <c r="X18" s="21"/>
      <c r="Y18" s="16" t="s">
        <v>5</v>
      </c>
      <c r="Z18" s="12"/>
      <c r="AA18" s="12"/>
      <c r="AB18" s="21"/>
      <c r="AC18" s="14" t="s">
        <v>5</v>
      </c>
      <c r="AD18" s="12"/>
      <c r="AE18" s="12"/>
      <c r="AF18" s="21"/>
      <c r="AG18" s="4" t="s">
        <v>5</v>
      </c>
      <c r="AH18" s="12"/>
      <c r="AI18" s="12"/>
      <c r="AJ18" s="7"/>
    </row>
    <row r="19" spans="2:36" ht="17" customHeight="1" x14ac:dyDescent="0.25">
      <c r="B19">
        <v>25</v>
      </c>
      <c r="C19" t="s">
        <v>0</v>
      </c>
      <c r="D19">
        <v>3</v>
      </c>
      <c r="E19" s="14">
        <v>33.977809623161981</v>
      </c>
      <c r="F19" s="19">
        <f>AVERAGE(E19:E21)</f>
        <v>33.414496340124323</v>
      </c>
      <c r="G19" s="19">
        <f>STDEV(E19:E21)</f>
        <v>0.55085706253419287</v>
      </c>
      <c r="H19" s="20"/>
      <c r="I19" s="14">
        <v>9.9167593473749402</v>
      </c>
      <c r="J19" s="19">
        <f>AVERAGE(I19:I21)</f>
        <v>10.243740708042393</v>
      </c>
      <c r="K19" s="19">
        <f>STDEV(I19:I21)</f>
        <v>0.28792398141569281</v>
      </c>
      <c r="L19" s="20"/>
      <c r="M19" s="14">
        <v>0.12131934178319566</v>
      </c>
      <c r="N19" s="19">
        <f>AVERAGE(M19:M21)</f>
        <v>0.15473103425991006</v>
      </c>
      <c r="O19" s="19">
        <f>STDEV(M19:M21)</f>
        <v>2.9076344462090599E-2</v>
      </c>
      <c r="P19" s="4"/>
      <c r="Q19" s="14">
        <v>5.6757026393886347</v>
      </c>
      <c r="R19" s="12">
        <f>AVERAGE(Q19:Q21)</f>
        <v>5.8222634312278059</v>
      </c>
      <c r="S19" s="12">
        <f>STDEV(Q19:Q21)</f>
        <v>0.14062306579026129</v>
      </c>
      <c r="T19" s="4"/>
      <c r="U19" s="14">
        <v>38.594599507019069</v>
      </c>
      <c r="V19" s="12">
        <f>AVERAGE(U19:U21)</f>
        <v>39.628564838782921</v>
      </c>
      <c r="W19" s="12">
        <f>STDEV(U19:U21)</f>
        <v>0.98504357722539726</v>
      </c>
      <c r="X19" s="21"/>
      <c r="Y19" s="16">
        <v>0</v>
      </c>
      <c r="Z19" s="12">
        <f>AVERAGE(Y19:Y21)</f>
        <v>0</v>
      </c>
      <c r="AA19" s="12">
        <f>STDEV(Y19:Y21)</f>
        <v>0</v>
      </c>
      <c r="AB19" s="21"/>
      <c r="AC19" s="14">
        <v>56.772419960289582</v>
      </c>
      <c r="AD19" s="12">
        <f>AVERAGE(AC19:AC21)</f>
        <v>58.174467490963828</v>
      </c>
      <c r="AE19" s="12">
        <f>STDEV(AC19:AC21)</f>
        <v>1.3362271809132813</v>
      </c>
      <c r="AF19" s="21"/>
      <c r="AG19" s="14">
        <v>0.14263500560854162</v>
      </c>
      <c r="AH19" s="12">
        <f>AVERAGE(AG19:AG21)</f>
        <v>0.14619796272446531</v>
      </c>
      <c r="AI19" s="12">
        <f>STDEV(AG19:AG21)</f>
        <v>3.5669203424552646E-3</v>
      </c>
      <c r="AJ19" s="15"/>
    </row>
    <row r="20" spans="2:36" ht="17" customHeight="1" x14ac:dyDescent="0.25">
      <c r="C20" t="s">
        <v>1</v>
      </c>
      <c r="D20">
        <v>3</v>
      </c>
      <c r="E20" s="14">
        <v>32.877003594412201</v>
      </c>
      <c r="F20" s="19"/>
      <c r="G20" s="19"/>
      <c r="H20" s="20"/>
      <c r="I20" s="14">
        <v>10.45931412453994</v>
      </c>
      <c r="J20" s="19"/>
      <c r="K20" s="19"/>
      <c r="L20" s="20"/>
      <c r="M20" s="14">
        <v>0.16857717567796821</v>
      </c>
      <c r="N20" s="19"/>
      <c r="O20" s="19"/>
      <c r="P20" s="4"/>
      <c r="Q20" s="14">
        <v>5.9560813969190507</v>
      </c>
      <c r="R20" s="12"/>
      <c r="S20" s="12"/>
      <c r="T20" s="4"/>
      <c r="U20" s="14">
        <v>40.556032118951251</v>
      </c>
      <c r="V20" s="12"/>
      <c r="W20" s="12"/>
      <c r="X20" s="21"/>
      <c r="Y20" s="16">
        <v>0</v>
      </c>
      <c r="Z20" s="12"/>
      <c r="AA20" s="12"/>
      <c r="AB20" s="21"/>
      <c r="AC20" s="14">
        <v>59.433344391372486</v>
      </c>
      <c r="AD20" s="12"/>
      <c r="AE20" s="12"/>
      <c r="AF20" s="21"/>
      <c r="AG20" s="14">
        <v>0.14976883312659872</v>
      </c>
      <c r="AH20" s="12"/>
      <c r="AI20" s="12"/>
      <c r="AJ20" s="7"/>
    </row>
    <row r="21" spans="2:36" ht="17" customHeight="1" x14ac:dyDescent="0.25">
      <c r="C21" t="s">
        <v>2</v>
      </c>
      <c r="D21">
        <v>3</v>
      </c>
      <c r="E21" s="14">
        <v>33.388675802798794</v>
      </c>
      <c r="F21" s="19"/>
      <c r="G21" s="19"/>
      <c r="H21" s="20"/>
      <c r="I21" s="14">
        <v>10.355148652212298</v>
      </c>
      <c r="J21" s="19"/>
      <c r="K21" s="19"/>
      <c r="L21" s="20"/>
      <c r="M21" s="14">
        <v>0.17429658531856632</v>
      </c>
      <c r="N21" s="19"/>
      <c r="O21" s="19"/>
      <c r="P21" s="4"/>
      <c r="Q21" s="14">
        <v>5.8350062573757322</v>
      </c>
      <c r="R21" s="12"/>
      <c r="S21" s="12"/>
      <c r="T21" s="4"/>
      <c r="U21" s="14">
        <v>39.735062890378444</v>
      </c>
      <c r="V21" s="12"/>
      <c r="W21" s="12"/>
      <c r="X21" s="21"/>
      <c r="Y21" s="16">
        <v>0</v>
      </c>
      <c r="Z21" s="12"/>
      <c r="AA21" s="12"/>
      <c r="AB21" s="21"/>
      <c r="AC21" s="14">
        <v>58.317638121229429</v>
      </c>
      <c r="AD21" s="12"/>
      <c r="AE21" s="12"/>
      <c r="AF21" s="21"/>
      <c r="AG21" s="14">
        <v>0.14619004943825559</v>
      </c>
      <c r="AH21" s="12"/>
      <c r="AI21" s="12"/>
      <c r="AJ21" s="7"/>
    </row>
    <row r="22" spans="2:36" ht="17" customHeight="1" x14ac:dyDescent="0.25">
      <c r="E22" s="4"/>
      <c r="F22" s="19"/>
      <c r="G22" s="19"/>
      <c r="H22" s="20"/>
      <c r="I22" s="4" t="s">
        <v>5</v>
      </c>
      <c r="J22" s="19"/>
      <c r="K22" s="19"/>
      <c r="L22" s="20"/>
      <c r="M22" s="4" t="s">
        <v>5</v>
      </c>
      <c r="N22" s="19"/>
      <c r="O22" s="19"/>
      <c r="P22" s="4"/>
      <c r="Q22" s="4" t="s">
        <v>5</v>
      </c>
      <c r="R22" s="12"/>
      <c r="S22" s="12"/>
      <c r="T22" s="4"/>
      <c r="U22" s="4" t="s">
        <v>5</v>
      </c>
      <c r="V22" s="12"/>
      <c r="W22" s="12"/>
      <c r="X22" s="21"/>
      <c r="Y22" s="16" t="s">
        <v>5</v>
      </c>
      <c r="Z22" s="12"/>
      <c r="AA22" s="12"/>
      <c r="AB22" s="21"/>
      <c r="AC22" s="14" t="s">
        <v>5</v>
      </c>
      <c r="AD22" s="12"/>
      <c r="AE22" s="12"/>
      <c r="AF22" s="21"/>
      <c r="AG22" s="4" t="s">
        <v>5</v>
      </c>
      <c r="AH22" s="12"/>
      <c r="AI22" s="12"/>
      <c r="AJ22" s="7"/>
    </row>
    <row r="23" spans="2:36" ht="17" customHeight="1" x14ac:dyDescent="0.25">
      <c r="B23">
        <v>25</v>
      </c>
      <c r="C23" t="s">
        <v>0</v>
      </c>
      <c r="D23">
        <v>4</v>
      </c>
      <c r="E23" s="14">
        <v>13.631147173532971</v>
      </c>
      <c r="F23" s="19">
        <f>AVERAGE(E23:E25)</f>
        <v>13.575260381644028</v>
      </c>
      <c r="G23" s="19">
        <f>STDEV(E23:E25)</f>
        <v>0.15097274402385602</v>
      </c>
      <c r="H23" s="20"/>
      <c r="I23" s="14">
        <v>8.3344416799477177</v>
      </c>
      <c r="J23" s="19">
        <f>AVERAGE(I23:I25)</f>
        <v>8.4523086095600632</v>
      </c>
      <c r="K23" s="19">
        <f>STDEV(I23:I25)</f>
        <v>0.27951794535153629</v>
      </c>
      <c r="L23" s="20"/>
      <c r="M23" s="16">
        <v>0</v>
      </c>
      <c r="N23" s="19">
        <f>AVERAGE(M23:M25)</f>
        <v>0</v>
      </c>
      <c r="O23" s="19">
        <f>STDEV(M23:M25)</f>
        <v>0</v>
      </c>
      <c r="P23" s="4"/>
      <c r="Q23" s="14">
        <v>4.2569525518847335</v>
      </c>
      <c r="R23" s="12">
        <f>AVERAGE(Q23:Q25)</f>
        <v>4.3686192719946435</v>
      </c>
      <c r="S23" s="12">
        <f>STDEV(Q23:Q25)</f>
        <v>0.1653034064185461</v>
      </c>
      <c r="T23" s="4"/>
      <c r="U23" s="14">
        <v>28.44363717605567</v>
      </c>
      <c r="V23" s="12">
        <f>AVERAGE(U23:U25)</f>
        <v>29.127017653610523</v>
      </c>
      <c r="W23" s="12">
        <f>STDEV(U23:U25)</f>
        <v>1.0217490594744201</v>
      </c>
      <c r="X23" s="21"/>
      <c r="Y23" s="16">
        <v>0</v>
      </c>
      <c r="Z23" s="12">
        <f>AVERAGE(Y23:Y25)</f>
        <v>0</v>
      </c>
      <c r="AA23" s="12">
        <f>STDEV(Y23:Y25)</f>
        <v>0</v>
      </c>
      <c r="AB23" s="21"/>
      <c r="AC23" s="14">
        <v>41.190999817808901</v>
      </c>
      <c r="AD23" s="12">
        <f>AVERAGE(AC23:AC25)</f>
        <v>42.174216088975804</v>
      </c>
      <c r="AE23" s="12">
        <f>STDEV(AC23:AC25)</f>
        <v>1.4853847503664133</v>
      </c>
      <c r="AF23" s="21"/>
      <c r="AG23" s="14">
        <v>0.10125643201794735</v>
      </c>
      <c r="AH23" s="12">
        <f>AVERAGE(AG23:AG25)</f>
        <v>0.10333564796954968</v>
      </c>
      <c r="AI23" s="12">
        <f>STDEV(AG23:AG25)</f>
        <v>3.7409411920782355E-3</v>
      </c>
      <c r="AJ23" s="18"/>
    </row>
    <row r="24" spans="2:36" ht="17" customHeight="1" x14ac:dyDescent="0.25">
      <c r="C24" t="s">
        <v>1</v>
      </c>
      <c r="D24">
        <v>4</v>
      </c>
      <c r="E24" s="14">
        <v>13.404312547630788</v>
      </c>
      <c r="F24" s="19"/>
      <c r="G24" s="19"/>
      <c r="H24" s="20"/>
      <c r="I24" s="14">
        <v>8.2510290425031823</v>
      </c>
      <c r="J24" s="19"/>
      <c r="K24" s="19"/>
      <c r="L24" s="20"/>
      <c r="M24" s="16">
        <v>0</v>
      </c>
      <c r="N24" s="19"/>
      <c r="O24" s="19"/>
      <c r="P24" s="4"/>
      <c r="Q24" s="14">
        <v>4.290388752169533</v>
      </c>
      <c r="R24" s="12"/>
      <c r="S24" s="12"/>
      <c r="T24" s="4"/>
      <c r="U24" s="14">
        <v>28.635812651250422</v>
      </c>
      <c r="V24" s="12"/>
      <c r="W24" s="12"/>
      <c r="X24" s="21"/>
      <c r="Y24" s="16">
        <v>0</v>
      </c>
      <c r="Z24" s="12"/>
      <c r="AA24" s="12"/>
      <c r="AB24" s="21"/>
      <c r="AC24" s="14">
        <v>41.448724319167106</v>
      </c>
      <c r="AD24" s="12"/>
      <c r="AE24" s="12"/>
      <c r="AF24" s="21"/>
      <c r="AG24" s="14">
        <v>0.10109618797220063</v>
      </c>
      <c r="AH24" s="12"/>
      <c r="AI24" s="12"/>
      <c r="AJ24" s="18"/>
    </row>
    <row r="25" spans="2:36" ht="17" customHeight="1" x14ac:dyDescent="0.25">
      <c r="C25" t="s">
        <v>2</v>
      </c>
      <c r="D25">
        <v>4</v>
      </c>
      <c r="E25" s="14">
        <v>13.690321423768324</v>
      </c>
      <c r="F25" s="19"/>
      <c r="G25" s="19"/>
      <c r="H25" s="20"/>
      <c r="I25" s="14">
        <v>8.7714551062292916</v>
      </c>
      <c r="J25" s="19"/>
      <c r="K25" s="19"/>
      <c r="L25" s="20"/>
      <c r="M25" s="16">
        <v>0</v>
      </c>
      <c r="N25" s="19"/>
      <c r="O25" s="19"/>
      <c r="P25" s="4"/>
      <c r="Q25" s="14">
        <v>4.5585165119296622</v>
      </c>
      <c r="R25" s="12"/>
      <c r="S25" s="12"/>
      <c r="T25" s="4"/>
      <c r="U25" s="14">
        <v>30.301603133525475</v>
      </c>
      <c r="V25" s="12"/>
      <c r="W25" s="12"/>
      <c r="X25" s="21"/>
      <c r="Y25" s="16">
        <v>0</v>
      </c>
      <c r="Z25" s="12"/>
      <c r="AA25" s="12"/>
      <c r="AB25" s="21"/>
      <c r="AC25" s="14">
        <v>43.882924129951405</v>
      </c>
      <c r="AD25" s="12"/>
      <c r="AE25" s="12"/>
      <c r="AF25" s="21"/>
      <c r="AG25" s="14">
        <v>0.10765432391850108</v>
      </c>
      <c r="AH25" s="12"/>
      <c r="AI25" s="12"/>
      <c r="AJ25" s="18"/>
    </row>
    <row r="26" spans="2:36" ht="17" customHeight="1" x14ac:dyDescent="0.25">
      <c r="E26" s="4"/>
      <c r="F26" s="19"/>
      <c r="G26" s="19"/>
      <c r="H26" s="20"/>
      <c r="I26" s="4" t="s">
        <v>5</v>
      </c>
      <c r="J26" s="19"/>
      <c r="K26" s="19"/>
      <c r="L26" s="20"/>
      <c r="M26" s="16" t="s">
        <v>5</v>
      </c>
      <c r="N26" s="19"/>
      <c r="O26" s="19"/>
      <c r="P26" s="4"/>
      <c r="Q26" s="4" t="s">
        <v>5</v>
      </c>
      <c r="R26" s="12"/>
      <c r="S26" s="12"/>
      <c r="T26" s="4"/>
      <c r="U26" s="4" t="s">
        <v>5</v>
      </c>
      <c r="V26" s="12"/>
      <c r="W26" s="12"/>
      <c r="X26" s="21"/>
      <c r="Y26" s="16" t="s">
        <v>5</v>
      </c>
      <c r="Z26" s="12"/>
      <c r="AA26" s="12"/>
      <c r="AB26" s="21"/>
      <c r="AC26" s="14" t="s">
        <v>5</v>
      </c>
      <c r="AD26" s="12"/>
      <c r="AE26" s="12"/>
      <c r="AF26" s="21"/>
      <c r="AG26" s="4" t="s">
        <v>5</v>
      </c>
      <c r="AH26" s="12"/>
      <c r="AI26" s="12"/>
      <c r="AJ26" s="18"/>
    </row>
    <row r="27" spans="2:36" ht="17" customHeight="1" x14ac:dyDescent="0.25">
      <c r="B27">
        <v>25</v>
      </c>
      <c r="C27" t="s">
        <v>0</v>
      </c>
      <c r="D27">
        <v>5</v>
      </c>
      <c r="E27" s="14">
        <v>10.03765634105886</v>
      </c>
      <c r="F27" s="19">
        <f>AVERAGE(E27:E29)</f>
        <v>10.415714050895831</v>
      </c>
      <c r="G27" s="19">
        <f>STDEV(E27:E29)</f>
        <v>0.32789825545505907</v>
      </c>
      <c r="H27" s="20"/>
      <c r="I27" s="14">
        <v>7.0960363231938741</v>
      </c>
      <c r="J27" s="19">
        <f>AVERAGE(I27:I29)</f>
        <v>7.1664736614803699</v>
      </c>
      <c r="K27" s="19">
        <f>STDEV(I27:I29)</f>
        <v>6.4545636023719821E-2</v>
      </c>
      <c r="L27" s="20"/>
      <c r="M27" s="16">
        <v>0</v>
      </c>
      <c r="N27" s="19">
        <f>AVERAGE(M27:M29)</f>
        <v>0</v>
      </c>
      <c r="O27" s="19">
        <f>STDEV(M27:M29)</f>
        <v>0</v>
      </c>
      <c r="P27" s="4"/>
      <c r="Q27" s="14">
        <v>3.315072755824148</v>
      </c>
      <c r="R27" s="12">
        <f>AVERAGE(Q27:Q29)</f>
        <v>3.353068191620673</v>
      </c>
      <c r="S27" s="12">
        <f>STDEV(Q27:Q29)</f>
        <v>4.2566958725478145E-2</v>
      </c>
      <c r="T27" s="4"/>
      <c r="U27" s="14">
        <v>21.798113447356464</v>
      </c>
      <c r="V27" s="12">
        <f>AVERAGE(U27:U29)</f>
        <v>22.075556406324619</v>
      </c>
      <c r="W27" s="12">
        <f>STDEV(U27:U29)</f>
        <v>0.34789521162487769</v>
      </c>
      <c r="X27" s="21"/>
      <c r="Y27" s="16">
        <v>0</v>
      </c>
      <c r="Z27" s="12">
        <f>AVERAGE(Y27:Y29)</f>
        <v>0</v>
      </c>
      <c r="AA27" s="12">
        <f>STDEV(Y27:Y29)</f>
        <v>0</v>
      </c>
      <c r="AB27" s="21"/>
      <c r="AC27" s="14">
        <v>31.578634270913799</v>
      </c>
      <c r="AD27" s="12">
        <f>AVERAGE(AC27:AC29)</f>
        <v>32.181265011960299</v>
      </c>
      <c r="AE27" s="12">
        <f>STDEV(AC27:AC29)</f>
        <v>0.5811283096618558</v>
      </c>
      <c r="AF27" s="21"/>
      <c r="AG27" s="14">
        <v>7.537405114752542E-2</v>
      </c>
      <c r="AH27" s="12">
        <f>AVERAGE(AG27:AG29)</f>
        <v>7.7583836321588051E-2</v>
      </c>
      <c r="AI27" s="12">
        <f>STDEV(AG27:AG29)</f>
        <v>1.9813924914582485E-3</v>
      </c>
      <c r="AJ27" s="18"/>
    </row>
    <row r="28" spans="2:36" ht="17" customHeight="1" x14ac:dyDescent="0.25">
      <c r="C28" t="s">
        <v>1</v>
      </c>
      <c r="D28">
        <v>5</v>
      </c>
      <c r="E28" s="14">
        <v>10.586811314833909</v>
      </c>
      <c r="F28" s="19"/>
      <c r="G28" s="19"/>
      <c r="H28" s="20"/>
      <c r="I28" s="14">
        <v>7.222789135145673</v>
      </c>
      <c r="J28" s="19"/>
      <c r="K28" s="19"/>
      <c r="L28" s="20"/>
      <c r="M28" s="16">
        <v>0</v>
      </c>
      <c r="N28" s="19"/>
      <c r="O28" s="19"/>
      <c r="P28" s="4"/>
      <c r="Q28" s="14">
        <v>3.3450620927681367</v>
      </c>
      <c r="R28" s="12"/>
      <c r="S28" s="12"/>
      <c r="T28" s="4"/>
      <c r="U28" s="14">
        <v>21.962682711648366</v>
      </c>
      <c r="V28" s="12"/>
      <c r="W28" s="12"/>
      <c r="X28" s="21"/>
      <c r="Y28" s="16">
        <v>0</v>
      </c>
      <c r="Z28" s="12"/>
      <c r="AA28" s="12"/>
      <c r="AB28" s="21"/>
      <c r="AC28" s="14">
        <v>32.226968851543027</v>
      </c>
      <c r="AD28" s="12"/>
      <c r="AE28" s="12"/>
      <c r="AF28" s="21"/>
      <c r="AG28" s="14">
        <v>7.9202103351474554E-2</v>
      </c>
      <c r="AH28" s="12"/>
      <c r="AI28" s="12"/>
      <c r="AJ28" s="18"/>
    </row>
    <row r="29" spans="2:36" ht="17" customHeight="1" x14ac:dyDescent="0.25">
      <c r="C29" t="s">
        <v>2</v>
      </c>
      <c r="D29">
        <v>5</v>
      </c>
      <c r="E29" s="14">
        <v>10.622674496794728</v>
      </c>
      <c r="F29" s="19"/>
      <c r="G29" s="19"/>
      <c r="H29" s="20"/>
      <c r="I29" s="14">
        <v>7.1805955261015644</v>
      </c>
      <c r="J29" s="19"/>
      <c r="K29" s="19"/>
      <c r="L29" s="20"/>
      <c r="M29" s="16">
        <v>0</v>
      </c>
      <c r="N29" s="19"/>
      <c r="O29" s="19"/>
      <c r="P29" s="4"/>
      <c r="Q29" s="14">
        <v>3.3990697262697331</v>
      </c>
      <c r="R29" s="12"/>
      <c r="S29" s="12"/>
      <c r="T29" s="4"/>
      <c r="U29" s="14">
        <v>22.46587305996902</v>
      </c>
      <c r="V29" s="12"/>
      <c r="W29" s="12"/>
      <c r="X29" s="21"/>
      <c r="Y29" s="16">
        <v>0</v>
      </c>
      <c r="Z29" s="12"/>
      <c r="AA29" s="12"/>
      <c r="AB29" s="21"/>
      <c r="AC29" s="14">
        <v>32.738191913424068</v>
      </c>
      <c r="AD29" s="12"/>
      <c r="AE29" s="12"/>
      <c r="AF29" s="21"/>
      <c r="AG29" s="14">
        <v>7.8175354465764166E-2</v>
      </c>
      <c r="AH29" s="12"/>
      <c r="AI29" s="12"/>
      <c r="AJ29" s="18"/>
    </row>
    <row r="30" spans="2:36" ht="17" customHeight="1" x14ac:dyDescent="0.25">
      <c r="E30" s="4"/>
      <c r="F30" s="19"/>
      <c r="G30" s="19"/>
      <c r="H30" s="20"/>
      <c r="I30" s="4" t="s">
        <v>5</v>
      </c>
      <c r="J30" s="19"/>
      <c r="K30" s="19"/>
      <c r="L30" s="20"/>
      <c r="M30" s="16" t="s">
        <v>5</v>
      </c>
      <c r="N30" s="19"/>
      <c r="O30" s="19"/>
      <c r="P30" s="4"/>
      <c r="Q30" s="4" t="s">
        <v>5</v>
      </c>
      <c r="R30" s="12"/>
      <c r="S30" s="12"/>
      <c r="T30" s="4"/>
      <c r="U30" s="4" t="s">
        <v>5</v>
      </c>
      <c r="V30" s="12"/>
      <c r="W30" s="12"/>
      <c r="X30" s="21"/>
      <c r="Y30" s="16" t="s">
        <v>5</v>
      </c>
      <c r="Z30" s="12"/>
      <c r="AA30" s="12"/>
      <c r="AB30" s="21"/>
      <c r="AC30" s="14" t="s">
        <v>5</v>
      </c>
      <c r="AD30" s="12"/>
      <c r="AE30" s="12"/>
      <c r="AF30" s="21"/>
      <c r="AG30" s="4" t="s">
        <v>5</v>
      </c>
      <c r="AH30" s="12"/>
      <c r="AI30" s="12"/>
      <c r="AJ30" s="18"/>
    </row>
    <row r="31" spans="2:36" ht="17" customHeight="1" x14ac:dyDescent="0.25">
      <c r="B31">
        <v>25</v>
      </c>
      <c r="C31" t="s">
        <v>0</v>
      </c>
      <c r="D31">
        <v>6</v>
      </c>
      <c r="E31" s="14">
        <v>8.1974268166943105</v>
      </c>
      <c r="F31" s="19">
        <f>AVERAGE(E31:E33)</f>
        <v>8.6820280629398852</v>
      </c>
      <c r="G31" s="19">
        <f>STDEV(E31:E33)</f>
        <v>0.4282777131801962</v>
      </c>
      <c r="H31" s="20"/>
      <c r="I31" s="14">
        <v>9.0101127073850282</v>
      </c>
      <c r="J31" s="19">
        <f>AVERAGE(I31:I33)</f>
        <v>6.9329182766356716</v>
      </c>
      <c r="K31" s="19">
        <f>STDEV(I31:I33)</f>
        <v>1.808974068517665</v>
      </c>
      <c r="L31" s="20"/>
      <c r="M31" s="16">
        <v>0</v>
      </c>
      <c r="N31" s="19">
        <f>AVERAGE(M31:M33)</f>
        <v>0</v>
      </c>
      <c r="O31" s="19">
        <f>STDEV(M31:M33)</f>
        <v>0</v>
      </c>
      <c r="P31" s="4"/>
      <c r="Q31" s="14">
        <v>2.2896593648142649</v>
      </c>
      <c r="R31" s="12">
        <f>AVERAGE(Q31:Q33)</f>
        <v>2.3223408862937061</v>
      </c>
      <c r="S31" s="12">
        <f>STDEV(Q31:Q33)</f>
        <v>4.1270177420207221E-2</v>
      </c>
      <c r="T31" s="4"/>
      <c r="U31" s="14">
        <v>15.300426965321051</v>
      </c>
      <c r="V31" s="12">
        <f>AVERAGE(U31:U33)</f>
        <v>15.446829422594433</v>
      </c>
      <c r="W31" s="12">
        <f>STDEV(U31:U33)</f>
        <v>0.27374611713366265</v>
      </c>
      <c r="X31" s="21"/>
      <c r="Y31" s="16">
        <v>0</v>
      </c>
      <c r="Z31" s="12">
        <f>AVERAGE(Y31:Y33)</f>
        <v>0</v>
      </c>
      <c r="AA31" s="12">
        <f>STDEV(Y31:Y33)</f>
        <v>0</v>
      </c>
      <c r="AB31" s="21"/>
      <c r="AC31" s="14">
        <v>21.801949093042662</v>
      </c>
      <c r="AD31" s="12">
        <f>AVERAGE(AC31:AC33)</f>
        <v>22.055264336497288</v>
      </c>
      <c r="AE31" s="12">
        <f>STDEV(AC31:AC33)</f>
        <v>0.40509356216566011</v>
      </c>
      <c r="AF31" s="21"/>
      <c r="AG31" s="14">
        <v>5.3539316173372188E-2</v>
      </c>
      <c r="AH31" s="12">
        <f>AVERAGE(AG31:AG33)</f>
        <v>5.519517131275483E-2</v>
      </c>
      <c r="AI31" s="12">
        <f>STDEV(AG31:AG33)</f>
        <v>2.3070223736065413E-3</v>
      </c>
      <c r="AJ31" s="18"/>
    </row>
    <row r="32" spans="2:36" ht="17" customHeight="1" x14ac:dyDescent="0.25">
      <c r="C32" t="s">
        <v>1</v>
      </c>
      <c r="D32">
        <v>6</v>
      </c>
      <c r="E32" s="14">
        <v>9.0097278881068714</v>
      </c>
      <c r="F32" s="19"/>
      <c r="G32" s="19"/>
      <c r="H32" s="20"/>
      <c r="I32" s="14">
        <v>6.0849375695105321</v>
      </c>
      <c r="J32" s="19"/>
      <c r="K32" s="19"/>
      <c r="L32" s="20"/>
      <c r="M32" s="16">
        <v>0</v>
      </c>
      <c r="N32" s="19"/>
      <c r="O32" s="19"/>
      <c r="P32" s="4"/>
      <c r="Q32" s="14">
        <v>2.3687177279967782</v>
      </c>
      <c r="R32" s="4"/>
      <c r="S32" s="4"/>
      <c r="T32" s="4"/>
      <c r="U32" s="14">
        <v>15.76264490683865</v>
      </c>
      <c r="V32" s="4"/>
      <c r="W32" s="4"/>
      <c r="X32" s="21"/>
      <c r="Y32" s="16">
        <v>0</v>
      </c>
      <c r="Z32" s="4"/>
      <c r="AA32" s="4"/>
      <c r="AB32" s="21"/>
      <c r="AC32" s="14">
        <v>22.522472005476402</v>
      </c>
      <c r="AD32" s="4"/>
      <c r="AE32" s="4"/>
      <c r="AF32" s="21"/>
      <c r="AG32" s="14">
        <v>5.7830295620589577E-2</v>
      </c>
      <c r="AJ32" s="7"/>
    </row>
    <row r="33" spans="1:36" ht="17" customHeight="1" x14ac:dyDescent="0.25">
      <c r="C33" t="s">
        <v>2</v>
      </c>
      <c r="D33">
        <v>6</v>
      </c>
      <c r="E33" s="14">
        <v>8.83892948401847</v>
      </c>
      <c r="F33" s="19"/>
      <c r="G33" s="19"/>
      <c r="H33" s="20"/>
      <c r="I33" s="14">
        <v>5.7037045530114554</v>
      </c>
      <c r="J33" s="19"/>
      <c r="K33" s="19"/>
      <c r="L33" s="20"/>
      <c r="M33" s="16">
        <v>0</v>
      </c>
      <c r="N33" s="19"/>
      <c r="O33" s="19"/>
      <c r="P33" s="4"/>
      <c r="Q33" s="14">
        <v>2.3086455660700755</v>
      </c>
      <c r="R33" s="4"/>
      <c r="S33" s="4"/>
      <c r="T33" s="4"/>
      <c r="U33" s="14">
        <v>15.2774163956236</v>
      </c>
      <c r="V33" s="4"/>
      <c r="W33" s="4"/>
      <c r="X33" s="21"/>
      <c r="Y33" s="16">
        <v>0</v>
      </c>
      <c r="Z33" s="4"/>
      <c r="AA33" s="4"/>
      <c r="AB33" s="21"/>
      <c r="AC33" s="14">
        <v>21.841371910972789</v>
      </c>
      <c r="AD33" s="4"/>
      <c r="AE33" s="4"/>
      <c r="AF33" s="21"/>
      <c r="AG33" s="14">
        <v>5.4215902144302733E-2</v>
      </c>
      <c r="AJ33" s="7"/>
    </row>
    <row r="34" spans="1:36" x14ac:dyDescent="0.2">
      <c r="E34"/>
      <c r="F34"/>
      <c r="G34"/>
    </row>
    <row r="35" spans="1:36" ht="16" x14ac:dyDescent="0.2">
      <c r="A35" s="1"/>
      <c r="E35"/>
      <c r="F35"/>
      <c r="G35"/>
      <c r="H35"/>
      <c r="I35"/>
      <c r="J35"/>
      <c r="M35" s="17" t="s">
        <v>13</v>
      </c>
      <c r="Y35" s="17" t="s">
        <v>14</v>
      </c>
      <c r="AC35" s="17" t="s">
        <v>5</v>
      </c>
    </row>
    <row r="36" spans="1:36" x14ac:dyDescent="0.2">
      <c r="E36"/>
      <c r="F36"/>
      <c r="G36"/>
    </row>
    <row r="37" spans="1:36" x14ac:dyDescent="0.2">
      <c r="E37"/>
      <c r="F37"/>
      <c r="G37"/>
    </row>
    <row r="38" spans="1:36" x14ac:dyDescent="0.2">
      <c r="E38"/>
      <c r="F38"/>
      <c r="G38"/>
    </row>
    <row r="39" spans="1:36" x14ac:dyDescent="0.2">
      <c r="E39"/>
      <c r="F39"/>
      <c r="G39"/>
    </row>
    <row r="40" spans="1:36" x14ac:dyDescent="0.2">
      <c r="E40"/>
      <c r="F40"/>
      <c r="G40"/>
    </row>
    <row r="41" spans="1:36" x14ac:dyDescent="0.2">
      <c r="E41"/>
      <c r="F41"/>
      <c r="G41"/>
    </row>
    <row r="42" spans="1:36" x14ac:dyDescent="0.2">
      <c r="E42"/>
      <c r="F42"/>
      <c r="G42"/>
    </row>
    <row r="43" spans="1:36" x14ac:dyDescent="0.2">
      <c r="E43"/>
      <c r="F43"/>
      <c r="G43"/>
    </row>
    <row r="44" spans="1:36" x14ac:dyDescent="0.2">
      <c r="E44"/>
      <c r="F44"/>
      <c r="G44"/>
    </row>
    <row r="45" spans="1:36" x14ac:dyDescent="0.2">
      <c r="E45"/>
      <c r="F45"/>
      <c r="G45"/>
    </row>
    <row r="46" spans="1:36" x14ac:dyDescent="0.2">
      <c r="E46"/>
      <c r="F46"/>
      <c r="G46"/>
    </row>
    <row r="47" spans="1:36" x14ac:dyDescent="0.2">
      <c r="E47"/>
      <c r="F47"/>
      <c r="G47"/>
    </row>
    <row r="48" spans="1:36" x14ac:dyDescent="0.2">
      <c r="E48"/>
      <c r="F48"/>
      <c r="G48"/>
    </row>
  </sheetData>
  <printOptions gridLines="1"/>
  <pageMargins left="0.25" right="0.25" top="0.75" bottom="0.75" header="0.3" footer="0.3"/>
  <pageSetup paperSize="17" scale="44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128CB-9D10-4208-8CF0-1A45512D2C89}">
  <sheetPr>
    <pageSetUpPr fitToPage="1"/>
  </sheetPr>
  <dimension ref="A6:AK46"/>
  <sheetViews>
    <sheetView tabSelected="1" topLeftCell="A4" workbookViewId="0">
      <selection activeCell="AD31" sqref="AD31:AE31"/>
    </sheetView>
  </sheetViews>
  <sheetFormatPr baseColWidth="10" defaultColWidth="8.83203125" defaultRowHeight="15" x14ac:dyDescent="0.2"/>
  <cols>
    <col min="2" max="2" width="7.5" customWidth="1"/>
    <col min="3" max="4" width="3.5" customWidth="1"/>
    <col min="5" max="5" width="11.1640625" style="3" customWidth="1"/>
    <col min="6" max="6" width="15.6640625" style="3" customWidth="1"/>
    <col min="7" max="7" width="9" style="3" customWidth="1"/>
    <col min="8" max="8" width="2.5" style="5" customWidth="1"/>
    <col min="9" max="9" width="13.33203125" style="5" customWidth="1"/>
    <col min="10" max="11" width="8.5" style="5" customWidth="1"/>
    <col min="12" max="12" width="2.5" style="5" customWidth="1"/>
    <col min="13" max="13" width="10.33203125" style="5" customWidth="1"/>
    <col min="14" max="15" width="8.33203125" style="5" customWidth="1"/>
    <col min="16" max="16" width="2" customWidth="1"/>
    <col min="20" max="20" width="2.33203125" customWidth="1"/>
    <col min="22" max="23" width="9.1640625" style="8"/>
    <col min="24" max="24" width="2" customWidth="1"/>
    <col min="28" max="28" width="1.5" customWidth="1"/>
    <col min="30" max="31" width="9.1640625" style="8"/>
    <col min="32" max="32" width="1.5" customWidth="1"/>
    <col min="34" max="35" width="9.1640625" style="4"/>
    <col min="36" max="36" width="1.83203125" style="5" customWidth="1"/>
    <col min="37" max="37" width="8.33203125" style="5" customWidth="1"/>
  </cols>
  <sheetData>
    <row r="6" spans="1:37" x14ac:dyDescent="0.2">
      <c r="B6" s="2" t="s">
        <v>6</v>
      </c>
    </row>
    <row r="7" spans="1:37" x14ac:dyDescent="0.2">
      <c r="E7" s="3" t="s">
        <v>5</v>
      </c>
      <c r="I7" s="5" t="s">
        <v>5</v>
      </c>
      <c r="M7" s="5" t="s">
        <v>5</v>
      </c>
    </row>
    <row r="8" spans="1:37" ht="16" x14ac:dyDescent="0.2">
      <c r="A8" s="1"/>
      <c r="E8" t="s">
        <v>15</v>
      </c>
      <c r="I8" t="s">
        <v>16</v>
      </c>
      <c r="J8" s="7"/>
      <c r="K8" s="7"/>
      <c r="M8" t="s">
        <v>17</v>
      </c>
      <c r="Q8" t="s">
        <v>18</v>
      </c>
      <c r="R8" s="9"/>
      <c r="S8" s="9"/>
      <c r="U8" t="s">
        <v>19</v>
      </c>
      <c r="V8" s="10"/>
      <c r="W8" s="10"/>
      <c r="Y8" t="s">
        <v>20</v>
      </c>
      <c r="Z8" s="9"/>
      <c r="AA8" s="9"/>
      <c r="AC8" s="11" t="s">
        <v>21</v>
      </c>
      <c r="AD8" s="10"/>
      <c r="AE8" s="10"/>
      <c r="AG8" t="s">
        <v>22</v>
      </c>
      <c r="AH8" s="12"/>
      <c r="AI8" s="12"/>
      <c r="AK8"/>
    </row>
    <row r="9" spans="1:37" s="13" customFormat="1" ht="17" customHeight="1" x14ac:dyDescent="0.25">
      <c r="A9" s="1"/>
      <c r="B9"/>
      <c r="C9"/>
      <c r="D9"/>
      <c r="E9" t="s">
        <v>12</v>
      </c>
      <c r="F9" s="6" t="s">
        <v>3</v>
      </c>
      <c r="G9" s="6" t="s">
        <v>4</v>
      </c>
      <c r="H9" s="5" t="s">
        <v>5</v>
      </c>
      <c r="I9" t="s">
        <v>12</v>
      </c>
      <c r="J9" s="7" t="s">
        <v>3</v>
      </c>
      <c r="K9" s="7" t="s">
        <v>4</v>
      </c>
      <c r="L9" s="5" t="s">
        <v>5</v>
      </c>
      <c r="M9" t="s">
        <v>12</v>
      </c>
      <c r="N9" s="7" t="s">
        <v>3</v>
      </c>
      <c r="O9" s="7" t="s">
        <v>4</v>
      </c>
      <c r="P9"/>
      <c r="Q9" t="s">
        <v>12</v>
      </c>
      <c r="R9" s="9" t="s">
        <v>3</v>
      </c>
      <c r="S9" s="9" t="s">
        <v>4</v>
      </c>
      <c r="T9"/>
      <c r="U9" t="s">
        <v>12</v>
      </c>
      <c r="V9" s="10" t="s">
        <v>3</v>
      </c>
      <c r="W9" s="10" t="s">
        <v>4</v>
      </c>
      <c r="Y9" t="s">
        <v>12</v>
      </c>
      <c r="Z9" s="9" t="s">
        <v>3</v>
      </c>
      <c r="AA9" s="9" t="s">
        <v>4</v>
      </c>
      <c r="AC9" s="11" t="s">
        <v>12</v>
      </c>
      <c r="AD9" s="10" t="s">
        <v>3</v>
      </c>
      <c r="AE9" s="10" t="s">
        <v>4</v>
      </c>
      <c r="AG9" t="s">
        <v>12</v>
      </c>
      <c r="AH9" s="12" t="s">
        <v>3</v>
      </c>
      <c r="AI9" s="12" t="s">
        <v>4</v>
      </c>
      <c r="AJ9" s="7"/>
    </row>
    <row r="10" spans="1:37" ht="17" customHeight="1" x14ac:dyDescent="0.25">
      <c r="E10"/>
      <c r="F10" s="6"/>
      <c r="G10" s="6"/>
      <c r="I10"/>
      <c r="J10" s="7"/>
      <c r="K10" s="7"/>
      <c r="M10"/>
      <c r="N10" s="7"/>
      <c r="O10" s="7"/>
      <c r="X10" s="13"/>
      <c r="AB10" s="13"/>
      <c r="AC10" s="11"/>
      <c r="AF10" s="13"/>
      <c r="AJ10" s="7"/>
      <c r="AK10" s="7"/>
    </row>
    <row r="11" spans="1:37" ht="17" customHeight="1" x14ac:dyDescent="0.25">
      <c r="B11">
        <v>100</v>
      </c>
      <c r="C11" t="s">
        <v>0</v>
      </c>
      <c r="D11">
        <v>1</v>
      </c>
      <c r="E11" s="14">
        <v>16880</v>
      </c>
      <c r="F11" s="19">
        <f>AVERAGE(E11:E13)</f>
        <v>16766.666666666668</v>
      </c>
      <c r="G11" s="19">
        <f>STDEV(E11:E13)</f>
        <v>110.15141094572203</v>
      </c>
      <c r="H11" s="20"/>
      <c r="I11" s="14">
        <v>46.519256566953693</v>
      </c>
      <c r="J11" s="19">
        <f>AVERAGE(I11:I13)</f>
        <v>39.922167314476155</v>
      </c>
      <c r="K11" s="19">
        <f>STDEV(I11:I13)</f>
        <v>5.9066640056853137</v>
      </c>
      <c r="L11" s="20"/>
      <c r="M11" s="14">
        <v>35.552938284341778</v>
      </c>
      <c r="N11" s="19">
        <f>AVERAGE(M11:M13)</f>
        <v>35.440715784496263</v>
      </c>
      <c r="O11" s="19">
        <f>STDEV(M11:M13)</f>
        <v>0.63218765083235684</v>
      </c>
      <c r="P11" s="4"/>
      <c r="Q11" s="14">
        <v>19.304766941545587</v>
      </c>
      <c r="R11" s="12">
        <f>AVERAGE(Q11:Q13)</f>
        <v>19.519991310580362</v>
      </c>
      <c r="S11" s="12">
        <f>STDEV(Q11:Q13)</f>
        <v>0.56241958655653879</v>
      </c>
      <c r="T11" s="4"/>
      <c r="U11" s="14">
        <v>19.879821608148184</v>
      </c>
      <c r="V11" s="12">
        <f>AVERAGE(U11:U13)</f>
        <v>19.44886697229548</v>
      </c>
      <c r="W11" s="12">
        <f>STDEV(U11:U13)</f>
        <v>0.59921064222508058</v>
      </c>
      <c r="X11" s="21"/>
      <c r="Y11" s="14">
        <v>2.3564356435643576</v>
      </c>
      <c r="Z11" s="12">
        <f>AVERAGE(Y11:Y13)</f>
        <v>2.5280528052805296</v>
      </c>
      <c r="AA11" s="12">
        <f>STDEV(Y11:Y13)</f>
        <v>0.17329089891518268</v>
      </c>
      <c r="AB11" s="21"/>
      <c r="AC11" s="14">
        <v>0.31271575703974208</v>
      </c>
      <c r="AD11" s="12">
        <f>AVERAGE(AC11:AC13)</f>
        <v>0.33593906022652709</v>
      </c>
      <c r="AE11" s="12">
        <f>STDEV(AC11:AC13)</f>
        <v>3.1946395189449701E-2</v>
      </c>
      <c r="AF11" s="21"/>
      <c r="AG11" s="14">
        <v>0.76355694301840427</v>
      </c>
      <c r="AH11" s="12">
        <f>AVERAGE(AG11:AG13)</f>
        <v>0.78145679642477728</v>
      </c>
      <c r="AI11" s="12">
        <f>STDEV(AG11:AG13)</f>
        <v>2.7039923688239171E-2</v>
      </c>
      <c r="AJ11" s="15"/>
      <c r="AK11" s="15"/>
    </row>
    <row r="12" spans="1:37" ht="17" customHeight="1" x14ac:dyDescent="0.25">
      <c r="C12" t="s">
        <v>1</v>
      </c>
      <c r="D12">
        <v>1</v>
      </c>
      <c r="E12" s="14">
        <v>16760</v>
      </c>
      <c r="F12" s="19"/>
      <c r="G12" s="19"/>
      <c r="H12" s="20"/>
      <c r="I12" s="14">
        <v>38.122785695449281</v>
      </c>
      <c r="J12" s="19"/>
      <c r="K12" s="19"/>
      <c r="L12" s="20"/>
      <c r="M12" s="14">
        <v>36.009277095809587</v>
      </c>
      <c r="N12" s="19"/>
      <c r="O12" s="19"/>
      <c r="P12" s="4"/>
      <c r="Q12" s="14">
        <v>20.158239570551174</v>
      </c>
      <c r="R12" s="12"/>
      <c r="S12" s="12"/>
      <c r="T12" s="4"/>
      <c r="U12" s="14">
        <v>19.702177420990218</v>
      </c>
      <c r="V12" s="12"/>
      <c r="W12" s="12"/>
      <c r="X12" s="21"/>
      <c r="Y12" s="14">
        <v>2.7029702970297045</v>
      </c>
      <c r="Z12" s="12"/>
      <c r="AA12" s="12"/>
      <c r="AB12" s="21"/>
      <c r="AC12" s="14">
        <v>0.32272973666942462</v>
      </c>
      <c r="AD12" s="12"/>
      <c r="AE12" s="12"/>
      <c r="AF12" s="21"/>
      <c r="AG12" s="14">
        <v>0.81256194619361055</v>
      </c>
      <c r="AH12" s="12"/>
      <c r="AI12" s="12"/>
      <c r="AJ12" s="7"/>
      <c r="AK12" s="7"/>
    </row>
    <row r="13" spans="1:37" ht="17" customHeight="1" x14ac:dyDescent="0.25">
      <c r="C13" t="s">
        <v>2</v>
      </c>
      <c r="D13">
        <v>1</v>
      </c>
      <c r="E13" s="14">
        <v>16660</v>
      </c>
      <c r="F13" s="19"/>
      <c r="G13" s="19"/>
      <c r="H13" s="20"/>
      <c r="I13" s="14">
        <v>35.124459681025485</v>
      </c>
      <c r="J13" s="19"/>
      <c r="K13" s="19"/>
      <c r="L13" s="20"/>
      <c r="M13" s="14">
        <v>34.759931973337416</v>
      </c>
      <c r="N13" s="19"/>
      <c r="O13" s="19"/>
      <c r="P13" s="4"/>
      <c r="Q13" s="14">
        <v>19.096967419644319</v>
      </c>
      <c r="R13" s="12"/>
      <c r="S13" s="12"/>
      <c r="T13" s="4"/>
      <c r="U13" s="14">
        <v>18.764601887748036</v>
      </c>
      <c r="V13" s="12"/>
      <c r="W13" s="12"/>
      <c r="X13" s="21"/>
      <c r="Y13" s="14">
        <v>2.5247524752475261</v>
      </c>
      <c r="Z13" s="12"/>
      <c r="AA13" s="12"/>
      <c r="AB13" s="21"/>
      <c r="AC13" s="14">
        <v>0.37237168697041462</v>
      </c>
      <c r="AD13" s="12"/>
      <c r="AE13" s="12"/>
      <c r="AF13" s="21"/>
      <c r="AG13" s="14">
        <v>0.76825150006231713</v>
      </c>
      <c r="AH13" s="12"/>
      <c r="AI13" s="12"/>
      <c r="AJ13" s="7"/>
      <c r="AK13" s="7"/>
    </row>
    <row r="14" spans="1:37" ht="17" customHeight="1" x14ac:dyDescent="0.25">
      <c r="E14" s="4"/>
      <c r="F14" s="19"/>
      <c r="G14" s="19"/>
      <c r="H14" s="20"/>
      <c r="I14" s="4"/>
      <c r="J14" s="19"/>
      <c r="K14" s="19"/>
      <c r="L14" s="20"/>
      <c r="M14" s="4"/>
      <c r="N14" s="19"/>
      <c r="O14" s="19"/>
      <c r="P14" s="4"/>
      <c r="Q14" s="4"/>
      <c r="R14" s="12"/>
      <c r="S14" s="12"/>
      <c r="T14" s="4"/>
      <c r="U14" s="4"/>
      <c r="V14" s="12"/>
      <c r="W14" s="12"/>
      <c r="X14" s="21"/>
      <c r="Y14" s="16"/>
      <c r="Z14" s="12"/>
      <c r="AA14" s="12"/>
      <c r="AB14" s="21"/>
      <c r="AC14" s="14"/>
      <c r="AD14" s="12"/>
      <c r="AE14" s="12"/>
      <c r="AF14" s="21"/>
      <c r="AG14" s="4"/>
      <c r="AH14" s="12"/>
      <c r="AI14" s="12"/>
      <c r="AJ14" s="7"/>
      <c r="AK14" s="7"/>
    </row>
    <row r="15" spans="1:37" ht="17" customHeight="1" x14ac:dyDescent="0.25">
      <c r="B15">
        <v>100</v>
      </c>
      <c r="C15" t="s">
        <v>0</v>
      </c>
      <c r="D15">
        <v>2</v>
      </c>
      <c r="E15" s="14">
        <v>1187.6732364377942</v>
      </c>
      <c r="F15" s="19">
        <f>AVERAGE(E15:E17)</f>
        <v>1220.23971381107</v>
      </c>
      <c r="G15" s="19">
        <f>STDEV(E15:E17)</f>
        <v>29.841579519435381</v>
      </c>
      <c r="H15" s="20"/>
      <c r="I15" s="14">
        <v>3.3088216103353787</v>
      </c>
      <c r="J15" s="19">
        <f>AVERAGE(I15:I17)</f>
        <v>3.0194875810170085</v>
      </c>
      <c r="K15" s="19">
        <f>STDEV(I15:I17)</f>
        <v>0.25468180224459092</v>
      </c>
      <c r="L15" s="20"/>
      <c r="M15" s="14">
        <v>0.22540775028475876</v>
      </c>
      <c r="N15" s="19">
        <f>AVERAGE(M15:M17)</f>
        <v>0.27011285332299323</v>
      </c>
      <c r="O15" s="19">
        <f>STDEV(M15:M17)</f>
        <v>4.8494536705360379E-2</v>
      </c>
      <c r="P15" s="4"/>
      <c r="Q15" s="14">
        <v>0.29077941474681379</v>
      </c>
      <c r="R15" s="12">
        <f>AVERAGE(Q15:Q17)</f>
        <v>0.32159659504820659</v>
      </c>
      <c r="S15" s="12">
        <f>STDEV(Q15:Q17)</f>
        <v>2.7710578056569138E-2</v>
      </c>
      <c r="T15" s="4"/>
      <c r="U15" s="14">
        <v>0.26689850766425821</v>
      </c>
      <c r="V15" s="12">
        <f>AVERAGE(U15:U17)</f>
        <v>0.28881085826186775</v>
      </c>
      <c r="W15" s="12">
        <f>STDEV(U15:U17)</f>
        <v>7.1915497078715071E-2</v>
      </c>
      <c r="X15" s="21"/>
      <c r="Y15" s="16">
        <v>0</v>
      </c>
      <c r="Z15" s="12">
        <f>AVERAGE(Y15:Y17)</f>
        <v>0</v>
      </c>
      <c r="AA15" s="12">
        <f>STDEV(Y15:Y17)</f>
        <v>0</v>
      </c>
      <c r="AB15" s="21"/>
      <c r="AC15" s="14">
        <v>0.78865082308635992</v>
      </c>
      <c r="AD15" s="12">
        <f>AVERAGE(AC15:AC17)</f>
        <v>0.76125265089916605</v>
      </c>
      <c r="AE15" s="12">
        <f>STDEV(AC15:AC17)</f>
        <v>0.13804206468097696</v>
      </c>
      <c r="AF15" s="21"/>
      <c r="AG15" s="14">
        <v>3.3621574783522165E-2</v>
      </c>
      <c r="AH15" s="12">
        <f>AVERAGE(AG15:AG17)</f>
        <v>3.0141707172800455E-2</v>
      </c>
      <c r="AI15" s="12">
        <f>STDEV(AG15:AG17)</f>
        <v>3.0303346809151129E-3</v>
      </c>
      <c r="AJ15" s="15"/>
      <c r="AK15" s="15"/>
    </row>
    <row r="16" spans="1:37" ht="17" customHeight="1" x14ac:dyDescent="0.25">
      <c r="C16" t="s">
        <v>1</v>
      </c>
      <c r="D16">
        <v>2</v>
      </c>
      <c r="E16" s="14">
        <v>1226.7716304418668</v>
      </c>
      <c r="F16" s="19"/>
      <c r="G16" s="19"/>
      <c r="H16" s="20"/>
      <c r="I16" s="14">
        <v>2.9203967114707035</v>
      </c>
      <c r="J16" s="19"/>
      <c r="K16" s="19"/>
      <c r="L16" s="20"/>
      <c r="M16" s="14">
        <v>0.26326248697380228</v>
      </c>
      <c r="N16" s="19"/>
      <c r="O16" s="19"/>
      <c r="P16" s="4"/>
      <c r="Q16" s="14">
        <v>0.3295484979362644</v>
      </c>
      <c r="R16" s="12"/>
      <c r="S16" s="12"/>
      <c r="T16" s="4"/>
      <c r="U16" s="14">
        <v>0.36913363495171853</v>
      </c>
      <c r="V16" s="12"/>
      <c r="W16" s="12"/>
      <c r="X16" s="21"/>
      <c r="Y16" s="16">
        <v>0</v>
      </c>
      <c r="Z16" s="12"/>
      <c r="AA16" s="12"/>
      <c r="AB16" s="21"/>
      <c r="AC16" s="14">
        <v>0.88354112578813748</v>
      </c>
      <c r="AD16" s="12"/>
      <c r="AE16" s="12"/>
      <c r="AF16" s="21"/>
      <c r="AG16" s="14">
        <v>2.8719293976604367E-2</v>
      </c>
      <c r="AH16" s="12"/>
      <c r="AI16" s="12"/>
      <c r="AJ16" s="7"/>
      <c r="AK16" s="7"/>
    </row>
    <row r="17" spans="2:37" ht="17" customHeight="1" x14ac:dyDescent="0.25">
      <c r="C17" t="s">
        <v>2</v>
      </c>
      <c r="D17">
        <v>2</v>
      </c>
      <c r="E17" s="14">
        <v>1246.2742745535486</v>
      </c>
      <c r="F17" s="19"/>
      <c r="G17" s="19"/>
      <c r="H17" s="20"/>
      <c r="I17" s="14">
        <v>2.8292444212449435</v>
      </c>
      <c r="J17" s="19"/>
      <c r="K17" s="19"/>
      <c r="L17" s="20"/>
      <c r="M17" s="14">
        <v>0.32166832271041862</v>
      </c>
      <c r="N17" s="19"/>
      <c r="O17" s="19"/>
      <c r="P17" s="4"/>
      <c r="Q17" s="14">
        <v>0.34446187246154159</v>
      </c>
      <c r="R17" s="12"/>
      <c r="S17" s="12"/>
      <c r="T17" s="4"/>
      <c r="U17" s="14">
        <v>0.23040043216962658</v>
      </c>
      <c r="V17" s="12"/>
      <c r="W17" s="12"/>
      <c r="X17" s="21"/>
      <c r="Y17" s="16">
        <v>0</v>
      </c>
      <c r="Z17" s="12"/>
      <c r="AA17" s="12"/>
      <c r="AB17" s="21"/>
      <c r="AC17" s="14">
        <v>0.61156600382300075</v>
      </c>
      <c r="AD17" s="12"/>
      <c r="AE17" s="12"/>
      <c r="AF17" s="21"/>
      <c r="AG17" s="14">
        <v>2.8084252758274825E-2</v>
      </c>
      <c r="AH17" s="12"/>
      <c r="AI17" s="12"/>
      <c r="AJ17" s="7"/>
      <c r="AK17" s="7"/>
    </row>
    <row r="18" spans="2:37" ht="17" customHeight="1" x14ac:dyDescent="0.25">
      <c r="E18" s="4"/>
      <c r="F18" s="19"/>
      <c r="G18" s="19"/>
      <c r="H18" s="20"/>
      <c r="I18" s="4" t="s">
        <v>5</v>
      </c>
      <c r="J18" s="19"/>
      <c r="K18" s="19"/>
      <c r="L18" s="20"/>
      <c r="M18" s="4" t="s">
        <v>5</v>
      </c>
      <c r="N18" s="19"/>
      <c r="O18" s="19"/>
      <c r="P18" s="4"/>
      <c r="Q18" s="4" t="s">
        <v>5</v>
      </c>
      <c r="R18" s="12"/>
      <c r="S18" s="12"/>
      <c r="T18" s="4"/>
      <c r="U18" s="4" t="s">
        <v>5</v>
      </c>
      <c r="V18" s="12"/>
      <c r="W18" s="12"/>
      <c r="X18" s="21"/>
      <c r="Y18" s="16" t="s">
        <v>5</v>
      </c>
      <c r="Z18" s="12"/>
      <c r="AA18" s="12"/>
      <c r="AB18" s="21"/>
      <c r="AC18" s="14" t="s">
        <v>5</v>
      </c>
      <c r="AD18" s="12"/>
      <c r="AE18" s="12"/>
      <c r="AF18" s="21"/>
      <c r="AG18" s="4" t="s">
        <v>5</v>
      </c>
      <c r="AH18" s="12"/>
      <c r="AI18" s="12"/>
      <c r="AJ18" s="7"/>
      <c r="AK18" s="7"/>
    </row>
    <row r="19" spans="2:37" ht="17" customHeight="1" x14ac:dyDescent="0.25">
      <c r="B19">
        <v>100</v>
      </c>
      <c r="C19" t="s">
        <v>0</v>
      </c>
      <c r="D19">
        <v>3</v>
      </c>
      <c r="E19" s="14">
        <v>97.574042803218802</v>
      </c>
      <c r="F19" s="19">
        <f>AVERAGE(E19:E21)</f>
        <v>98.062338667521658</v>
      </c>
      <c r="G19" s="19">
        <f>STDEV(E19:E21)</f>
        <v>2.7135355741317353</v>
      </c>
      <c r="H19" s="20"/>
      <c r="I19" s="14">
        <v>10.950961395140856</v>
      </c>
      <c r="J19" s="19">
        <f>AVERAGE(I19:I21)</f>
        <v>11.273413822228846</v>
      </c>
      <c r="K19" s="19">
        <f>STDEV(I19:I21)</f>
        <v>0.44765366894618758</v>
      </c>
      <c r="L19" s="20"/>
      <c r="M19" s="16">
        <v>0</v>
      </c>
      <c r="N19" s="19">
        <f>AVERAGE(M19:M21)</f>
        <v>0</v>
      </c>
      <c r="O19" s="19">
        <f>STDEV(M19:M21)</f>
        <v>0</v>
      </c>
      <c r="P19" s="4"/>
      <c r="Q19" s="14">
        <v>6.5398125813221757</v>
      </c>
      <c r="R19" s="12">
        <f>AVERAGE(Q19:Q21)</f>
        <v>6.6859303211517371</v>
      </c>
      <c r="S19" s="12">
        <f>STDEV(Q19:Q21)</f>
        <v>0.19414195111902982</v>
      </c>
      <c r="T19" s="4"/>
      <c r="U19" s="14">
        <v>45.949664346895403</v>
      </c>
      <c r="V19" s="12">
        <f>AVERAGE(U19:U21)</f>
        <v>46.374793522065211</v>
      </c>
      <c r="W19" s="12">
        <f>STDEV(U19:U21)</f>
        <v>1.0727674789434296</v>
      </c>
      <c r="X19" s="21"/>
      <c r="Y19" s="16">
        <v>0</v>
      </c>
      <c r="Z19" s="12">
        <f>AVERAGE(Y19:Y21)</f>
        <v>0</v>
      </c>
      <c r="AA19" s="12">
        <f>STDEV(Y19:Y21)</f>
        <v>0</v>
      </c>
      <c r="AB19" s="21"/>
      <c r="AC19" s="14">
        <v>67.647647141760046</v>
      </c>
      <c r="AD19" s="12">
        <f>AVERAGE(AC19:AC21)</f>
        <v>68.900937695721908</v>
      </c>
      <c r="AE19" s="12">
        <f>STDEV(AC19:AC21)</f>
        <v>1.7501467397397272</v>
      </c>
      <c r="AF19" s="21"/>
      <c r="AG19" s="14">
        <v>0.16686746630423815</v>
      </c>
      <c r="AH19" s="12">
        <f>AVERAGE(AG19:AG21)</f>
        <v>0.16861234591348007</v>
      </c>
      <c r="AI19" s="12">
        <f>STDEV(AG19:AG21)</f>
        <v>3.0944566515345448E-3</v>
      </c>
      <c r="AJ19" s="15"/>
      <c r="AK19" s="15"/>
    </row>
    <row r="20" spans="2:37" ht="17" customHeight="1" x14ac:dyDescent="0.25">
      <c r="C20" t="s">
        <v>1</v>
      </c>
      <c r="D20">
        <v>3</v>
      </c>
      <c r="E20" s="14">
        <v>95.626104038590256</v>
      </c>
      <c r="F20" s="19"/>
      <c r="G20" s="19"/>
      <c r="H20" s="20"/>
      <c r="I20" s="14">
        <v>11.784514486854629</v>
      </c>
      <c r="J20" s="19"/>
      <c r="K20" s="19"/>
      <c r="L20" s="20"/>
      <c r="M20" s="16">
        <v>0</v>
      </c>
      <c r="N20" s="19"/>
      <c r="O20" s="19"/>
      <c r="P20" s="4"/>
      <c r="Q20" s="14">
        <v>6.9062247226634437</v>
      </c>
      <c r="R20" s="12"/>
      <c r="S20" s="12"/>
      <c r="T20" s="4"/>
      <c r="U20" s="14">
        <v>47.594968625768928</v>
      </c>
      <c r="V20" s="12"/>
      <c r="W20" s="12"/>
      <c r="X20" s="21"/>
      <c r="Y20" s="16">
        <v>0</v>
      </c>
      <c r="Z20" s="12"/>
      <c r="AA20" s="12"/>
      <c r="AB20" s="21"/>
      <c r="AC20" s="14">
        <v>70.900521682600001</v>
      </c>
      <c r="AD20" s="12"/>
      <c r="AE20" s="12"/>
      <c r="AF20" s="21"/>
      <c r="AG20" s="14">
        <v>0.17218519463716594</v>
      </c>
      <c r="AH20" s="12"/>
      <c r="AI20" s="12"/>
      <c r="AJ20" s="7"/>
      <c r="AK20" s="7"/>
    </row>
    <row r="21" spans="2:37" ht="17" customHeight="1" x14ac:dyDescent="0.25">
      <c r="C21" t="s">
        <v>2</v>
      </c>
      <c r="D21">
        <v>3</v>
      </c>
      <c r="E21" s="14">
        <v>100.98686916075593</v>
      </c>
      <c r="F21" s="19"/>
      <c r="G21" s="19"/>
      <c r="H21" s="20"/>
      <c r="I21" s="14">
        <v>11.084765584691059</v>
      </c>
      <c r="J21" s="19"/>
      <c r="K21" s="19"/>
      <c r="L21" s="20"/>
      <c r="M21" s="16">
        <v>0</v>
      </c>
      <c r="N21" s="19"/>
      <c r="O21" s="19"/>
      <c r="P21" s="4"/>
      <c r="Q21" s="14">
        <v>6.6117536594695938</v>
      </c>
      <c r="R21" s="12"/>
      <c r="S21" s="12"/>
      <c r="T21" s="4"/>
      <c r="U21" s="14">
        <v>45.579747593531302</v>
      </c>
      <c r="V21" s="12"/>
      <c r="W21" s="12"/>
      <c r="X21" s="21"/>
      <c r="Y21" s="16">
        <v>0</v>
      </c>
      <c r="Z21" s="12"/>
      <c r="AA21" s="12"/>
      <c r="AB21" s="21"/>
      <c r="AC21" s="14">
        <v>68.154644262805689</v>
      </c>
      <c r="AD21" s="12"/>
      <c r="AE21" s="12"/>
      <c r="AF21" s="21"/>
      <c r="AG21" s="14">
        <v>0.16678437679903618</v>
      </c>
      <c r="AH21" s="12"/>
      <c r="AI21" s="12"/>
      <c r="AJ21" s="7"/>
      <c r="AK21" s="7"/>
    </row>
    <row r="22" spans="2:37" ht="17" customHeight="1" x14ac:dyDescent="0.25">
      <c r="E22" s="4"/>
      <c r="F22" s="19"/>
      <c r="G22" s="19"/>
      <c r="H22" s="20"/>
      <c r="I22" s="4" t="s">
        <v>5</v>
      </c>
      <c r="J22" s="19"/>
      <c r="K22" s="19"/>
      <c r="L22" s="20"/>
      <c r="M22" s="16" t="s">
        <v>5</v>
      </c>
      <c r="N22" s="19"/>
      <c r="O22" s="19"/>
      <c r="P22" s="4"/>
      <c r="Q22" s="4" t="s">
        <v>5</v>
      </c>
      <c r="R22" s="12"/>
      <c r="S22" s="12"/>
      <c r="T22" s="4"/>
      <c r="U22" s="4" t="s">
        <v>5</v>
      </c>
      <c r="V22" s="12"/>
      <c r="W22" s="12"/>
      <c r="X22" s="21"/>
      <c r="Y22" s="16" t="s">
        <v>5</v>
      </c>
      <c r="Z22" s="12"/>
      <c r="AA22" s="12"/>
      <c r="AB22" s="21"/>
      <c r="AC22" s="14" t="s">
        <v>5</v>
      </c>
      <c r="AD22" s="12"/>
      <c r="AE22" s="12"/>
      <c r="AF22" s="21"/>
      <c r="AG22" s="4" t="s">
        <v>5</v>
      </c>
      <c r="AH22" s="12"/>
      <c r="AI22" s="12"/>
      <c r="AJ22" s="7"/>
      <c r="AK22" s="7"/>
    </row>
    <row r="23" spans="2:37" ht="17" customHeight="1" x14ac:dyDescent="0.25">
      <c r="B23">
        <v>100</v>
      </c>
      <c r="C23" t="s">
        <v>0</v>
      </c>
      <c r="D23">
        <v>4</v>
      </c>
      <c r="E23" s="14">
        <v>25.493765133597151</v>
      </c>
      <c r="F23" s="19">
        <f>AVERAGE(E23:E25)</f>
        <v>25.011100237648364</v>
      </c>
      <c r="G23" s="19">
        <f>STDEV(E23:E25)</f>
        <v>0.52607746756889973</v>
      </c>
      <c r="H23" s="20"/>
      <c r="I23" s="14">
        <v>11.493802813671648</v>
      </c>
      <c r="J23" s="19">
        <f>AVERAGE(I23:I25)</f>
        <v>11.233914642023153</v>
      </c>
      <c r="K23" s="19">
        <f>STDEV(I23:I25)</f>
        <v>0.22523838112561217</v>
      </c>
      <c r="L23" s="20"/>
      <c r="M23" s="16">
        <v>0</v>
      </c>
      <c r="N23" s="19">
        <f>AVERAGE(M23:M25)</f>
        <v>0</v>
      </c>
      <c r="O23" s="19">
        <f>STDEV(M23:M25)</f>
        <v>0</v>
      </c>
      <c r="P23" s="4"/>
      <c r="Q23" s="14">
        <v>6.5398938752688913</v>
      </c>
      <c r="R23" s="12">
        <f>AVERAGE(Q23:Q25)</f>
        <v>6.350415299159466</v>
      </c>
      <c r="S23" s="12">
        <f>STDEV(Q23:Q25)</f>
        <v>0.16409869287753398</v>
      </c>
      <c r="T23" s="4"/>
      <c r="U23" s="14">
        <v>43.729160552926494</v>
      </c>
      <c r="V23" s="12">
        <f>AVERAGE(U23:U25)</f>
        <v>42.318061369285836</v>
      </c>
      <c r="W23" s="12">
        <f>STDEV(U23:U25)</f>
        <v>1.2223886713024512</v>
      </c>
      <c r="X23" s="21"/>
      <c r="Y23" s="16">
        <v>0</v>
      </c>
      <c r="Z23" s="12">
        <f>AVERAGE(Y23:Y25)</f>
        <v>0</v>
      </c>
      <c r="AA23" s="12">
        <f>STDEV(Y23:Y25)</f>
        <v>0</v>
      </c>
      <c r="AB23" s="21"/>
      <c r="AC23" s="14">
        <v>63.790434116659284</v>
      </c>
      <c r="AD23" s="12">
        <f>AVERAGE(AC23:AC25)</f>
        <v>62.074885454559734</v>
      </c>
      <c r="AE23" s="12">
        <f>STDEV(AC23:AC25)</f>
        <v>1.4873096582941872</v>
      </c>
      <c r="AF23" s="21"/>
      <c r="AG23" s="14">
        <v>0.1502376953345243</v>
      </c>
      <c r="AH23" s="12">
        <f>AVERAGE(AG23:AG25)</f>
        <v>0.14610695993305359</v>
      </c>
      <c r="AI23" s="12">
        <f>STDEV(AG23:AG25)</f>
        <v>3.7598692026747675E-3</v>
      </c>
      <c r="AJ23" s="18"/>
      <c r="AK23" s="18"/>
    </row>
    <row r="24" spans="2:37" ht="17" customHeight="1" x14ac:dyDescent="0.25">
      <c r="C24" t="s">
        <v>1</v>
      </c>
      <c r="D24">
        <v>4</v>
      </c>
      <c r="E24" s="14">
        <v>25.089194542698458</v>
      </c>
      <c r="F24" s="19"/>
      <c r="G24" s="19"/>
      <c r="H24" s="20"/>
      <c r="I24" s="14">
        <v>11.112684453718886</v>
      </c>
      <c r="J24" s="19"/>
      <c r="K24" s="19"/>
      <c r="L24" s="20"/>
      <c r="M24" s="16">
        <v>0</v>
      </c>
      <c r="N24" s="19"/>
      <c r="O24" s="19"/>
      <c r="P24" s="4"/>
      <c r="Q24" s="14">
        <v>6.2543407580299224</v>
      </c>
      <c r="R24" s="12"/>
      <c r="S24" s="12"/>
      <c r="T24" s="4"/>
      <c r="U24" s="14">
        <v>41.641380171516317</v>
      </c>
      <c r="V24" s="12"/>
      <c r="W24" s="12"/>
      <c r="X24" s="21"/>
      <c r="Y24" s="16">
        <v>0</v>
      </c>
      <c r="Z24" s="12"/>
      <c r="AA24" s="12"/>
      <c r="AB24" s="21"/>
      <c r="AC24" s="14">
        <v>61.14812119213223</v>
      </c>
      <c r="AD24" s="12"/>
      <c r="AE24" s="12"/>
      <c r="AF24" s="21"/>
      <c r="AG24" s="14">
        <v>0.14519891034048893</v>
      </c>
      <c r="AH24" s="12"/>
      <c r="AI24" s="12"/>
      <c r="AJ24" s="18"/>
      <c r="AK24" s="18"/>
    </row>
    <row r="25" spans="2:37" ht="17" customHeight="1" x14ac:dyDescent="0.25">
      <c r="C25" t="s">
        <v>2</v>
      </c>
      <c r="D25">
        <v>4</v>
      </c>
      <c r="E25" s="14">
        <v>24.450341036649483</v>
      </c>
      <c r="F25" s="19"/>
      <c r="G25" s="19"/>
      <c r="H25" s="20"/>
      <c r="I25" s="14">
        <v>11.095256658678927</v>
      </c>
      <c r="J25" s="19"/>
      <c r="K25" s="19"/>
      <c r="L25" s="20"/>
      <c r="M25" s="16">
        <v>0</v>
      </c>
      <c r="N25" s="19"/>
      <c r="O25" s="19"/>
      <c r="P25" s="4"/>
      <c r="Q25" s="14">
        <v>6.2570112641795852</v>
      </c>
      <c r="R25" s="12"/>
      <c r="S25" s="12"/>
      <c r="T25" s="4"/>
      <c r="U25" s="14">
        <v>41.583643383414696</v>
      </c>
      <c r="V25" s="12"/>
      <c r="W25" s="12"/>
      <c r="X25" s="21"/>
      <c r="Y25" s="16">
        <v>0</v>
      </c>
      <c r="Z25" s="12"/>
      <c r="AA25" s="12"/>
      <c r="AB25" s="21"/>
      <c r="AC25" s="14">
        <v>61.286101054887688</v>
      </c>
      <c r="AD25" s="12"/>
      <c r="AE25" s="12"/>
      <c r="AF25" s="21"/>
      <c r="AG25" s="14">
        <v>0.14288427412414759</v>
      </c>
      <c r="AH25" s="12"/>
      <c r="AI25" s="12"/>
      <c r="AJ25" s="18"/>
      <c r="AK25" s="18"/>
    </row>
    <row r="26" spans="2:37" ht="17" customHeight="1" x14ac:dyDescent="0.25">
      <c r="E26" s="4"/>
      <c r="F26" s="19"/>
      <c r="G26" s="19"/>
      <c r="H26" s="20"/>
      <c r="I26" s="4" t="s">
        <v>5</v>
      </c>
      <c r="J26" s="19"/>
      <c r="K26" s="19"/>
      <c r="L26" s="20"/>
      <c r="M26" s="16" t="s">
        <v>5</v>
      </c>
      <c r="N26" s="19"/>
      <c r="O26" s="19"/>
      <c r="P26" s="4"/>
      <c r="Q26" s="4" t="s">
        <v>5</v>
      </c>
      <c r="R26" s="12"/>
      <c r="S26" s="12"/>
      <c r="T26" s="4"/>
      <c r="U26" s="4" t="s">
        <v>5</v>
      </c>
      <c r="V26" s="12"/>
      <c r="W26" s="12"/>
      <c r="X26" s="21"/>
      <c r="Y26" s="16" t="s">
        <v>5</v>
      </c>
      <c r="Z26" s="12"/>
      <c r="AA26" s="12"/>
      <c r="AB26" s="21"/>
      <c r="AC26" s="14" t="s">
        <v>5</v>
      </c>
      <c r="AD26" s="12"/>
      <c r="AE26" s="12"/>
      <c r="AF26" s="21"/>
      <c r="AG26" s="4" t="s">
        <v>5</v>
      </c>
      <c r="AH26" s="12"/>
      <c r="AI26" s="12"/>
      <c r="AJ26" s="18"/>
      <c r="AK26" s="18"/>
    </row>
    <row r="27" spans="2:37" ht="17" customHeight="1" x14ac:dyDescent="0.25">
      <c r="B27">
        <v>100</v>
      </c>
      <c r="C27" t="s">
        <v>0</v>
      </c>
      <c r="D27">
        <v>5</v>
      </c>
      <c r="E27" s="14">
        <v>13.585869906307437</v>
      </c>
      <c r="F27" s="19">
        <f>AVERAGE(E27:E29)</f>
        <v>13.935237070575752</v>
      </c>
      <c r="G27" s="19">
        <f>STDEV(E27:E29)</f>
        <v>0.37231709502277988</v>
      </c>
      <c r="H27" s="20"/>
      <c r="I27" s="14">
        <v>7.1013105243243864</v>
      </c>
      <c r="J27" s="19">
        <f>AVERAGE(I27:I29)</f>
        <v>7.338630465773111</v>
      </c>
      <c r="K27" s="19">
        <f>STDEV(I27:I29)</f>
        <v>0.2535654882780472</v>
      </c>
      <c r="L27" s="20"/>
      <c r="M27" s="16">
        <v>0</v>
      </c>
      <c r="N27" s="19">
        <f>AVERAGE(M27:M29)</f>
        <v>0</v>
      </c>
      <c r="O27" s="19">
        <f>STDEV(M27:M29)</f>
        <v>0</v>
      </c>
      <c r="P27" s="4"/>
      <c r="Q27" s="14">
        <v>3.5659987164589091</v>
      </c>
      <c r="R27" s="12">
        <f>AVERAGE(Q27:Q29)</f>
        <v>3.6404883598359139</v>
      </c>
      <c r="S27" s="12">
        <f>STDEV(Q27:Q29)</f>
        <v>8.8861101258519065E-2</v>
      </c>
      <c r="T27" s="4"/>
      <c r="U27" s="14">
        <v>23.7598373323228</v>
      </c>
      <c r="V27" s="12">
        <f>AVERAGE(U27:U29)</f>
        <v>24.266361138700891</v>
      </c>
      <c r="W27" s="12">
        <f>STDEV(U27:U29)</f>
        <v>0.63273199037536598</v>
      </c>
      <c r="X27" s="21"/>
      <c r="Y27" s="16">
        <v>0</v>
      </c>
      <c r="Z27" s="12">
        <f>AVERAGE(Y27:Y29)</f>
        <v>0</v>
      </c>
      <c r="AA27" s="12">
        <f>STDEV(Y27:Y29)</f>
        <v>0</v>
      </c>
      <c r="AB27" s="21"/>
      <c r="AC27" s="14">
        <v>34.290038433619422</v>
      </c>
      <c r="AD27" s="12">
        <f>AVERAGE(AC27:AC29)</f>
        <v>34.985736355711943</v>
      </c>
      <c r="AE27" s="12">
        <f>STDEV(AC27:AC29)</f>
        <v>0.82495976134364735</v>
      </c>
      <c r="AF27" s="21"/>
      <c r="AG27" s="14">
        <v>8.1706658436849017E-2</v>
      </c>
      <c r="AH27" s="12">
        <f>AVERAGE(AG27:AG29)</f>
        <v>8.3273489106372375E-2</v>
      </c>
      <c r="AI27" s="12">
        <f>STDEV(AG27:AG29)</f>
        <v>2.6625973938990861E-3</v>
      </c>
      <c r="AJ27" s="18"/>
      <c r="AK27" s="18"/>
    </row>
    <row r="28" spans="2:37" ht="17" customHeight="1" x14ac:dyDescent="0.25">
      <c r="C28" t="s">
        <v>1</v>
      </c>
      <c r="D28">
        <v>5</v>
      </c>
      <c r="E28" s="14">
        <v>14.326892903572869</v>
      </c>
      <c r="F28" s="19"/>
      <c r="G28" s="19"/>
      <c r="H28" s="20"/>
      <c r="I28" s="14">
        <v>7.6057993281126386</v>
      </c>
      <c r="J28" s="19"/>
      <c r="K28" s="19"/>
      <c r="L28" s="20"/>
      <c r="M28" s="16">
        <v>0</v>
      </c>
      <c r="N28" s="19"/>
      <c r="O28" s="19"/>
      <c r="P28" s="4"/>
      <c r="Q28" s="14">
        <v>3.7388459059690993</v>
      </c>
      <c r="R28" s="12"/>
      <c r="S28" s="12"/>
      <c r="T28" s="4"/>
      <c r="U28" s="14">
        <v>24.975610976843878</v>
      </c>
      <c r="V28" s="12"/>
      <c r="W28" s="12"/>
      <c r="X28" s="21"/>
      <c r="Y28" s="16">
        <v>0</v>
      </c>
      <c r="Z28" s="12"/>
      <c r="AA28" s="12"/>
      <c r="AB28" s="21"/>
      <c r="AC28" s="14">
        <v>35.897111632677237</v>
      </c>
      <c r="AD28" s="12"/>
      <c r="AE28" s="12"/>
      <c r="AF28" s="21"/>
      <c r="AG28" s="14">
        <v>8.6347800798846241E-2</v>
      </c>
      <c r="AH28" s="12"/>
      <c r="AI28" s="12"/>
      <c r="AJ28" s="18"/>
      <c r="AK28" s="18"/>
    </row>
    <row r="29" spans="2:37" ht="17" customHeight="1" x14ac:dyDescent="0.25">
      <c r="C29" t="s">
        <v>2</v>
      </c>
      <c r="D29">
        <v>5</v>
      </c>
      <c r="E29" s="14">
        <v>13.892948401846954</v>
      </c>
      <c r="F29" s="19"/>
      <c r="G29" s="19"/>
      <c r="H29" s="20"/>
      <c r="I29" s="14">
        <v>7.308781544882307</v>
      </c>
      <c r="J29" s="19"/>
      <c r="K29" s="19"/>
      <c r="L29" s="20"/>
      <c r="M29" s="16">
        <v>0</v>
      </c>
      <c r="N29" s="19"/>
      <c r="O29" s="19"/>
      <c r="P29" s="4"/>
      <c r="Q29" s="14">
        <v>3.6166204570797329</v>
      </c>
      <c r="R29" s="12"/>
      <c r="S29" s="12"/>
      <c r="T29" s="4"/>
      <c r="U29" s="14">
        <v>24.063635106935997</v>
      </c>
      <c r="V29" s="12"/>
      <c r="W29" s="12"/>
      <c r="X29" s="21"/>
      <c r="Y29" s="16">
        <v>0</v>
      </c>
      <c r="Z29" s="12"/>
      <c r="AA29" s="12"/>
      <c r="AB29" s="21"/>
      <c r="AC29" s="14">
        <v>34.770059000839169</v>
      </c>
      <c r="AD29" s="12"/>
      <c r="AE29" s="12"/>
      <c r="AF29" s="21"/>
      <c r="AG29" s="14">
        <v>8.1766008083421882E-2</v>
      </c>
      <c r="AH29" s="12"/>
      <c r="AI29" s="12"/>
      <c r="AJ29" s="18"/>
      <c r="AK29" s="18"/>
    </row>
    <row r="30" spans="2:37" ht="17" customHeight="1" x14ac:dyDescent="0.25">
      <c r="E30" s="4"/>
      <c r="F30" s="19"/>
      <c r="G30" s="19"/>
      <c r="H30" s="20"/>
      <c r="I30" s="4" t="s">
        <v>5</v>
      </c>
      <c r="J30" s="19"/>
      <c r="K30" s="19"/>
      <c r="L30" s="20"/>
      <c r="M30" s="16" t="s">
        <v>5</v>
      </c>
      <c r="N30" s="19"/>
      <c r="O30" s="19"/>
      <c r="P30" s="4"/>
      <c r="Q30" s="4" t="s">
        <v>5</v>
      </c>
      <c r="R30" s="12"/>
      <c r="S30" s="12"/>
      <c r="T30" s="4"/>
      <c r="U30" s="4" t="s">
        <v>5</v>
      </c>
      <c r="V30" s="12"/>
      <c r="W30" s="12"/>
      <c r="X30" s="21"/>
      <c r="Y30" s="16" t="s">
        <v>5</v>
      </c>
      <c r="Z30" s="12"/>
      <c r="AA30" s="12"/>
      <c r="AB30" s="21"/>
      <c r="AC30" s="14" t="s">
        <v>5</v>
      </c>
      <c r="AD30" s="12"/>
      <c r="AE30" s="12"/>
      <c r="AF30" s="21"/>
      <c r="AG30" s="4" t="s">
        <v>5</v>
      </c>
      <c r="AH30" s="12"/>
      <c r="AI30" s="12"/>
      <c r="AJ30" s="18"/>
      <c r="AK30" s="18"/>
    </row>
    <row r="31" spans="2:37" ht="17" customHeight="1" x14ac:dyDescent="0.25">
      <c r="B31">
        <v>100</v>
      </c>
      <c r="C31" t="s">
        <v>0</v>
      </c>
      <c r="D31">
        <v>6</v>
      </c>
      <c r="E31" s="14">
        <v>11.145380373873673</v>
      </c>
      <c r="F31" s="19">
        <f>AVERAGE(E31:E33)</f>
        <v>11.093229330105649</v>
      </c>
      <c r="G31" s="19">
        <f>STDEV(E31:E33)</f>
        <v>0.23854590886209748</v>
      </c>
      <c r="H31" s="20"/>
      <c r="I31" s="14">
        <v>6.4333788137633725</v>
      </c>
      <c r="J31" s="19">
        <f>AVERAGE(I31:I33)</f>
        <v>6.1895807774478229</v>
      </c>
      <c r="K31" s="19">
        <f>STDEV(I31:I33)</f>
        <v>0.25361707536797501</v>
      </c>
      <c r="L31" s="20"/>
      <c r="M31" s="16">
        <v>0</v>
      </c>
      <c r="N31" s="19">
        <f>AVERAGE(M31:M33)</f>
        <v>0</v>
      </c>
      <c r="O31" s="19">
        <f>STDEV(M31:M33)</f>
        <v>0</v>
      </c>
      <c r="P31" s="4"/>
      <c r="Q31" s="14">
        <v>2.4710993244924677</v>
      </c>
      <c r="R31" s="12">
        <f>AVERAGE(Q31:Q33)</f>
        <v>2.5299317537317325</v>
      </c>
      <c r="S31" s="12">
        <f>STDEV(Q31:Q33)</f>
        <v>0.18198657407738683</v>
      </c>
      <c r="T31" s="4"/>
      <c r="U31" s="14">
        <v>16.582028315558897</v>
      </c>
      <c r="V31" s="12">
        <f>AVERAGE(U31:U33)</f>
        <v>16.929603348415068</v>
      </c>
      <c r="W31" s="12">
        <f>STDEV(U31:U33)</f>
        <v>1.0908852566710516</v>
      </c>
      <c r="X31" s="21"/>
      <c r="Y31" s="16">
        <v>0</v>
      </c>
      <c r="Z31" s="12">
        <f>AVERAGE(Y31:Y33)</f>
        <v>0</v>
      </c>
      <c r="AA31" s="12">
        <f>STDEV(Y31:Y33)</f>
        <v>0</v>
      </c>
      <c r="AB31" s="21"/>
      <c r="AC31" s="14">
        <v>23.620174609868698</v>
      </c>
      <c r="AD31" s="12">
        <f>AVERAGE(AC31:AC33)</f>
        <v>24.12446056795832</v>
      </c>
      <c r="AE31" s="12">
        <f>STDEV(AC31:AC33)</f>
        <v>1.7307661197495123</v>
      </c>
      <c r="AF31" s="21"/>
      <c r="AG31" s="14">
        <v>5.7753141080044874E-2</v>
      </c>
      <c r="AH31" s="12">
        <f>AVERAGE(AG31:AG33)</f>
        <v>5.8692843817448402E-2</v>
      </c>
      <c r="AI31" s="12">
        <f>STDEV(AG31:AG33)</f>
        <v>4.0268738844341928E-3</v>
      </c>
      <c r="AJ31" s="18"/>
      <c r="AK31" s="18"/>
    </row>
    <row r="32" spans="2:37" ht="17" customHeight="1" x14ac:dyDescent="0.25">
      <c r="C32" t="s">
        <v>1</v>
      </c>
      <c r="D32">
        <v>6</v>
      </c>
      <c r="E32" s="14">
        <v>11.301385215403236</v>
      </c>
      <c r="F32" s="19"/>
      <c r="G32" s="19"/>
      <c r="H32" s="20"/>
      <c r="I32" s="14">
        <v>6.2081933567997076</v>
      </c>
      <c r="J32" s="19"/>
      <c r="K32" s="19"/>
      <c r="L32" s="20"/>
      <c r="M32" s="16">
        <v>0</v>
      </c>
      <c r="N32" s="19"/>
      <c r="O32" s="19"/>
      <c r="P32" s="4"/>
      <c r="Q32" s="14">
        <v>2.7340567892413796</v>
      </c>
      <c r="R32" s="4"/>
      <c r="S32" s="4"/>
      <c r="T32" s="4"/>
      <c r="U32" s="14">
        <v>18.151925242259335</v>
      </c>
      <c r="V32" s="4"/>
      <c r="W32" s="4"/>
      <c r="X32" s="21"/>
      <c r="Y32" s="16">
        <v>0</v>
      </c>
      <c r="Z32" s="4"/>
      <c r="AA32" s="4"/>
      <c r="AB32" s="21"/>
      <c r="AC32" s="14">
        <v>26.05136416142777</v>
      </c>
      <c r="AD32" s="4"/>
      <c r="AE32" s="4"/>
      <c r="AF32" s="21"/>
      <c r="AG32" s="14">
        <v>6.310647920091636E-2</v>
      </c>
      <c r="AJ32" s="7"/>
      <c r="AK32" s="7"/>
    </row>
    <row r="33" spans="1:37" ht="17" customHeight="1" x14ac:dyDescent="0.25">
      <c r="C33" t="s">
        <v>2</v>
      </c>
      <c r="D33">
        <v>6</v>
      </c>
      <c r="E33" s="14">
        <v>10.832922401040033</v>
      </c>
      <c r="F33" s="19"/>
      <c r="G33" s="19"/>
      <c r="H33" s="20"/>
      <c r="I33" s="14">
        <v>5.9271701617803885</v>
      </c>
      <c r="J33" s="19"/>
      <c r="K33" s="19"/>
      <c r="L33" s="20"/>
      <c r="M33" s="16">
        <v>0</v>
      </c>
      <c r="N33" s="19"/>
      <c r="O33" s="19"/>
      <c r="P33" s="4"/>
      <c r="Q33" s="14">
        <v>2.3846391474613493</v>
      </c>
      <c r="R33" s="4"/>
      <c r="S33" s="4"/>
      <c r="T33" s="4"/>
      <c r="U33" s="14">
        <v>16.054856487426971</v>
      </c>
      <c r="V33" s="4"/>
      <c r="W33" s="4"/>
      <c r="X33" s="21"/>
      <c r="Y33" s="16">
        <v>0</v>
      </c>
      <c r="Z33" s="4"/>
      <c r="AA33" s="4"/>
      <c r="AB33" s="21"/>
      <c r="AC33" s="14">
        <v>22.701842932578483</v>
      </c>
      <c r="AD33" s="4"/>
      <c r="AE33" s="4"/>
      <c r="AF33" s="21"/>
      <c r="AG33" s="14">
        <v>5.5218911171383972E-2</v>
      </c>
      <c r="AJ33" s="7"/>
      <c r="AK33" s="7"/>
    </row>
    <row r="34" spans="1:37" x14ac:dyDescent="0.2">
      <c r="E34"/>
      <c r="F34"/>
      <c r="G34"/>
    </row>
    <row r="35" spans="1:37" ht="16" x14ac:dyDescent="0.2">
      <c r="A35" s="1"/>
      <c r="E35"/>
      <c r="F35"/>
      <c r="G35"/>
      <c r="H35"/>
      <c r="I35"/>
      <c r="J35"/>
      <c r="M35" s="17" t="s">
        <v>13</v>
      </c>
      <c r="Y35" s="17" t="s">
        <v>14</v>
      </c>
      <c r="AC35" s="17" t="s">
        <v>5</v>
      </c>
      <c r="AK35"/>
    </row>
    <row r="36" spans="1:37" x14ac:dyDescent="0.2">
      <c r="E36"/>
      <c r="F36"/>
      <c r="G36"/>
    </row>
    <row r="37" spans="1:37" x14ac:dyDescent="0.2">
      <c r="E37"/>
      <c r="F37"/>
      <c r="G37"/>
    </row>
    <row r="38" spans="1:37" x14ac:dyDescent="0.2">
      <c r="E38"/>
      <c r="F38"/>
      <c r="G38"/>
    </row>
    <row r="39" spans="1:37" x14ac:dyDescent="0.2">
      <c r="E39"/>
      <c r="F39"/>
      <c r="G39"/>
    </row>
    <row r="40" spans="1:37" x14ac:dyDescent="0.2">
      <c r="E40"/>
      <c r="F40"/>
      <c r="G40"/>
    </row>
    <row r="41" spans="1:37" x14ac:dyDescent="0.2">
      <c r="E41"/>
      <c r="F41"/>
      <c r="G41"/>
    </row>
    <row r="42" spans="1:37" x14ac:dyDescent="0.2">
      <c r="E42"/>
      <c r="F42"/>
      <c r="G42"/>
    </row>
    <row r="43" spans="1:37" x14ac:dyDescent="0.2">
      <c r="E43"/>
      <c r="F43"/>
      <c r="G43"/>
    </row>
    <row r="44" spans="1:37" x14ac:dyDescent="0.2">
      <c r="E44"/>
      <c r="F44"/>
      <c r="G44"/>
    </row>
    <row r="45" spans="1:37" x14ac:dyDescent="0.2">
      <c r="E45"/>
      <c r="F45"/>
      <c r="G45"/>
    </row>
    <row r="46" spans="1:37" x14ac:dyDescent="0.2">
      <c r="E46"/>
      <c r="F46"/>
      <c r="G46"/>
    </row>
  </sheetData>
  <printOptions gridLines="1"/>
  <pageMargins left="0.25" right="0.25" top="0.75" bottom="0.75" header="0.3" footer="0.3"/>
  <pageSetup paperSize="17" scale="42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91FDD6B857CEA458FF312F7068A3DC6" ma:contentTypeVersion="10" ma:contentTypeDescription="Create a new document." ma:contentTypeScope="" ma:versionID="bdfcf69eb2156f7efd3a3f87f4a7282a">
  <xsd:schema xmlns:xsd="http://www.w3.org/2001/XMLSchema" xmlns:xs="http://www.w3.org/2001/XMLSchema" xmlns:p="http://schemas.microsoft.com/office/2006/metadata/properties" xmlns:ns3="ecafc828-384e-4b6c-82fa-ed37282f78d9" targetNamespace="http://schemas.microsoft.com/office/2006/metadata/properties" ma:root="true" ma:fieldsID="d8a19667e17bbfab62cdd2612ab963ab" ns3:_="">
    <xsd:import namespace="ecafc828-384e-4b6c-82fa-ed37282f78d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_activity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fc828-384e-4b6c-82fa-ed37282f78d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0" nillable="true" ma:displayName="_activity" ma:hidden="true" ma:internalName="_activity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cafc828-384e-4b6c-82fa-ed37282f78d9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04EAE04-3CE3-465B-BA0A-FDB97EB0480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cafc828-384e-4b6c-82fa-ed37282f78d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823B440-0F9C-4BD2-BD20-BFEB7FFEB1BE}">
  <ds:schemaRefs>
    <ds:schemaRef ds:uri="http://schemas.microsoft.com/office/2006/documentManagement/types"/>
    <ds:schemaRef ds:uri="http://purl.org/dc/terms/"/>
    <ds:schemaRef ds:uri="http://schemas.microsoft.com/office/2006/metadata/properties"/>
    <ds:schemaRef ds:uri="http://www.w3.org/XML/1998/namespace"/>
    <ds:schemaRef ds:uri="http://purl.org/dc/dcmitype/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ecafc828-384e-4b6c-82fa-ed37282f78d9"/>
  </ds:schemaRefs>
</ds:datastoreItem>
</file>

<file path=customXml/itemProps3.xml><?xml version="1.0" encoding="utf-8"?>
<ds:datastoreItem xmlns:ds="http://schemas.openxmlformats.org/officeDocument/2006/customXml" ds:itemID="{CF3290DF-6ACF-4C1C-877C-ECFCABB8F42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6</vt:i4>
      </vt:variant>
    </vt:vector>
  </HeadingPairs>
  <TitlesOfParts>
    <vt:vector size="12" baseType="lpstr">
      <vt:lpstr>IS = 0% ASW</vt:lpstr>
      <vt:lpstr>IS = 0.1%ASW</vt:lpstr>
      <vt:lpstr>IS = 1% ASW</vt:lpstr>
      <vt:lpstr>IS = 5% ASW</vt:lpstr>
      <vt:lpstr>IS =25% ASW</vt:lpstr>
      <vt:lpstr>IS = 100% ASW</vt:lpstr>
      <vt:lpstr>'IS = 0.1%ASW'!Print_Area</vt:lpstr>
      <vt:lpstr>'IS = 0% ASW'!Print_Area</vt:lpstr>
      <vt:lpstr>'IS = 1% ASW'!Print_Area</vt:lpstr>
      <vt:lpstr>'IS = 100% ASW'!Print_Area</vt:lpstr>
      <vt:lpstr>'IS = 5% ASW'!Print_Area</vt:lpstr>
      <vt:lpstr>'IS =25% ASW'!Print_Area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O'Loughlin, Edward J.</dc:creator>
  <cp:lastModifiedBy>Myers-Pigg, Allison N</cp:lastModifiedBy>
  <cp:lastPrinted>2024-12-10T15:25:14Z</cp:lastPrinted>
  <dcterms:created xsi:type="dcterms:W3CDTF">2023-09-13T13:37:43Z</dcterms:created>
  <dcterms:modified xsi:type="dcterms:W3CDTF">2026-03-20T23:15:10Z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0x010100691FDD6B857CEA458FF312F7068A3DC6</vt:lpwstr>
  </property>
</Properties>
</file>