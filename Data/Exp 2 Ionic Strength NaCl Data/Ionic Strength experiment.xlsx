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JO\Ed\RESEARCH\COMPASS\TEMPEST\IS experiment\"/>
    </mc:Choice>
  </mc:AlternateContent>
  <xr:revisionPtr revIDLastSave="0" documentId="13_ncr:1_{028A744C-CE15-49D5-83A3-B5B81803A2B8}" xr6:coauthVersionLast="47" xr6:coauthVersionMax="47" xr10:uidLastSave="{00000000-0000-0000-0000-000000000000}"/>
  <bookViews>
    <workbookView xWindow="-120" yWindow="-120" windowWidth="29040" windowHeight="15720" xr2:uid="{CD2106DC-15C8-495D-8D19-EEA12ED135EC}"/>
  </bookViews>
  <sheets>
    <sheet name="IS = 0% ASW" sheetId="7" r:id="rId1"/>
    <sheet name="IS = 0.1%ASW" sheetId="6" r:id="rId2"/>
    <sheet name="IS = 1% ASW" sheetId="5" r:id="rId3"/>
    <sheet name="IS = 5% ASW" sheetId="4" r:id="rId4"/>
    <sheet name="IS =25% ASW" sheetId="3" r:id="rId5"/>
    <sheet name="IS = 100% ASW" sheetId="2" r:id="rId6"/>
  </sheets>
  <definedNames>
    <definedName name="_xlnm.Print_Area" localSheetId="0">'IS = 0% ASW'!$B$6:$AJ$45</definedName>
    <definedName name="_xlnm.Print_Area" localSheetId="1">'IS = 0.1%ASW'!$B$6:$AJ$45</definedName>
    <definedName name="_xlnm.Print_Area" localSheetId="2">'IS = 1% ASW'!$B$6:$AJ$47</definedName>
    <definedName name="_xlnm.Print_Area" localSheetId="5">'IS = 100% ASW'!$B$6:$AK$45</definedName>
    <definedName name="_xlnm.Print_Area" localSheetId="3">'IS = 5% ASW'!$B$6:$AJ$45</definedName>
    <definedName name="_xlnm.Print_Area" localSheetId="4">'IS =25% ASW'!$B$6:$AJ$45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3" i="2" l="1"/>
  <c r="U33" i="2"/>
  <c r="AG33" i="2" s="1"/>
  <c r="AC32" i="2"/>
  <c r="U32" i="2"/>
  <c r="AC31" i="2"/>
  <c r="AE31" i="2" s="1"/>
  <c r="AA31" i="2"/>
  <c r="Z31" i="2"/>
  <c r="U31" i="2"/>
  <c r="W31" i="2" s="1"/>
  <c r="S31" i="2"/>
  <c r="R31" i="2"/>
  <c r="AC29" i="2"/>
  <c r="U29" i="2"/>
  <c r="AC28" i="2"/>
  <c r="AE27" i="2" s="1"/>
  <c r="U28" i="2"/>
  <c r="AC27" i="2"/>
  <c r="AA27" i="2"/>
  <c r="Z27" i="2"/>
  <c r="U27" i="2"/>
  <c r="AG27" i="2" s="1"/>
  <c r="S27" i="2"/>
  <c r="R27" i="2"/>
  <c r="AC25" i="2"/>
  <c r="U25" i="2"/>
  <c r="AC24" i="2"/>
  <c r="U24" i="2"/>
  <c r="AC23" i="2"/>
  <c r="AA23" i="2"/>
  <c r="Z23" i="2"/>
  <c r="U23" i="2"/>
  <c r="AG23" i="2" s="1"/>
  <c r="S23" i="2"/>
  <c r="R23" i="2"/>
  <c r="AC21" i="2"/>
  <c r="U21" i="2"/>
  <c r="AC20" i="2"/>
  <c r="U20" i="2"/>
  <c r="AC19" i="2"/>
  <c r="AD19" i="2" s="1"/>
  <c r="AA19" i="2"/>
  <c r="Z19" i="2"/>
  <c r="U19" i="2"/>
  <c r="S19" i="2"/>
  <c r="R19" i="2"/>
  <c r="AC17" i="2"/>
  <c r="U17" i="2"/>
  <c r="AC16" i="2"/>
  <c r="U16" i="2"/>
  <c r="AC15" i="2"/>
  <c r="AA15" i="2"/>
  <c r="Z15" i="2"/>
  <c r="U15" i="2"/>
  <c r="S15" i="2"/>
  <c r="R15" i="2"/>
  <c r="AC13" i="2"/>
  <c r="U13" i="2"/>
  <c r="AC12" i="2"/>
  <c r="U12" i="2"/>
  <c r="AC11" i="2"/>
  <c r="AA11" i="2"/>
  <c r="Z11" i="2"/>
  <c r="U11" i="2"/>
  <c r="W11" i="2" s="1"/>
  <c r="S11" i="2"/>
  <c r="R11" i="2"/>
  <c r="AC33" i="3"/>
  <c r="U33" i="3"/>
  <c r="AC32" i="3"/>
  <c r="U32" i="3"/>
  <c r="AC31" i="3"/>
  <c r="AE31" i="3" s="1"/>
  <c r="AA31" i="3"/>
  <c r="Z31" i="3"/>
  <c r="U31" i="3"/>
  <c r="W31" i="3" s="1"/>
  <c r="S31" i="3"/>
  <c r="R31" i="3"/>
  <c r="AC29" i="3"/>
  <c r="U29" i="3"/>
  <c r="AC28" i="3"/>
  <c r="U28" i="3"/>
  <c r="AC27" i="3"/>
  <c r="AA27" i="3"/>
  <c r="Z27" i="3"/>
  <c r="U27" i="3"/>
  <c r="S27" i="3"/>
  <c r="R27" i="3"/>
  <c r="AC25" i="3"/>
  <c r="U25" i="3"/>
  <c r="AC24" i="3"/>
  <c r="U24" i="3"/>
  <c r="AG24" i="3" s="1"/>
  <c r="AC23" i="3"/>
  <c r="AA23" i="3"/>
  <c r="Z23" i="3"/>
  <c r="U23" i="3"/>
  <c r="W23" i="3" s="1"/>
  <c r="S23" i="3"/>
  <c r="R23" i="3"/>
  <c r="AC21" i="3"/>
  <c r="U21" i="3"/>
  <c r="AC20" i="3"/>
  <c r="U20" i="3"/>
  <c r="AC19" i="3"/>
  <c r="AA19" i="3"/>
  <c r="Z19" i="3"/>
  <c r="U19" i="3"/>
  <c r="S19" i="3"/>
  <c r="R19" i="3"/>
  <c r="AC17" i="3"/>
  <c r="U17" i="3"/>
  <c r="AC16" i="3"/>
  <c r="U16" i="3"/>
  <c r="AG16" i="3" s="1"/>
  <c r="AC15" i="3"/>
  <c r="AA15" i="3"/>
  <c r="Z15" i="3"/>
  <c r="U15" i="3"/>
  <c r="S15" i="3"/>
  <c r="R15" i="3"/>
  <c r="AC13" i="3"/>
  <c r="U13" i="3"/>
  <c r="AG13" i="3" s="1"/>
  <c r="AC12" i="3"/>
  <c r="U12" i="3"/>
  <c r="AC11" i="3"/>
  <c r="AA11" i="3"/>
  <c r="Z11" i="3"/>
  <c r="U11" i="3"/>
  <c r="S11" i="3"/>
  <c r="R11" i="3"/>
  <c r="AC33" i="4"/>
  <c r="U33" i="4"/>
  <c r="AG33" i="4" s="1"/>
  <c r="AC32" i="4"/>
  <c r="U32" i="4"/>
  <c r="AG32" i="4" s="1"/>
  <c r="AC31" i="4"/>
  <c r="AA31" i="4"/>
  <c r="Z31" i="4"/>
  <c r="U31" i="4"/>
  <c r="S31" i="4"/>
  <c r="R31" i="4"/>
  <c r="AC29" i="4"/>
  <c r="U29" i="4"/>
  <c r="AG29" i="4" s="1"/>
  <c r="AC28" i="4"/>
  <c r="U28" i="4"/>
  <c r="AC27" i="4"/>
  <c r="AA27" i="4"/>
  <c r="Z27" i="4"/>
  <c r="U27" i="4"/>
  <c r="S27" i="4"/>
  <c r="R27" i="4"/>
  <c r="AC25" i="4"/>
  <c r="U25" i="4"/>
  <c r="AC24" i="4"/>
  <c r="U24" i="4"/>
  <c r="AC23" i="4"/>
  <c r="AA23" i="4"/>
  <c r="Z23" i="4"/>
  <c r="U23" i="4"/>
  <c r="S23" i="4"/>
  <c r="R23" i="4"/>
  <c r="AC21" i="4"/>
  <c r="U21" i="4"/>
  <c r="AC20" i="4"/>
  <c r="U20" i="4"/>
  <c r="AC19" i="4"/>
  <c r="AA19" i="4"/>
  <c r="Z19" i="4"/>
  <c r="U19" i="4"/>
  <c r="S19" i="4"/>
  <c r="R19" i="4"/>
  <c r="AC17" i="4"/>
  <c r="U17" i="4"/>
  <c r="AC16" i="4"/>
  <c r="U16" i="4"/>
  <c r="AC15" i="4"/>
  <c r="AA15" i="4"/>
  <c r="Z15" i="4"/>
  <c r="U15" i="4"/>
  <c r="S15" i="4"/>
  <c r="R15" i="4"/>
  <c r="AC13" i="4"/>
  <c r="U13" i="4"/>
  <c r="AG13" i="4" s="1"/>
  <c r="AC12" i="4"/>
  <c r="U12" i="4"/>
  <c r="AC11" i="4"/>
  <c r="AA11" i="4"/>
  <c r="Z11" i="4"/>
  <c r="U11" i="4"/>
  <c r="S11" i="4"/>
  <c r="R11" i="4"/>
  <c r="AC33" i="5"/>
  <c r="U33" i="5"/>
  <c r="AC32" i="5"/>
  <c r="U32" i="5"/>
  <c r="AC31" i="5"/>
  <c r="AE31" i="5" s="1"/>
  <c r="AA31" i="5"/>
  <c r="Z31" i="5"/>
  <c r="U31" i="5"/>
  <c r="S31" i="5"/>
  <c r="R31" i="5"/>
  <c r="AC29" i="5"/>
  <c r="U29" i="5"/>
  <c r="AC28" i="5"/>
  <c r="U28" i="5"/>
  <c r="AC27" i="5"/>
  <c r="AA27" i="5"/>
  <c r="Z27" i="5"/>
  <c r="U27" i="5"/>
  <c r="S27" i="5"/>
  <c r="R27" i="5"/>
  <c r="AC25" i="5"/>
  <c r="U25" i="5"/>
  <c r="AC24" i="5"/>
  <c r="U24" i="5"/>
  <c r="AC23" i="5"/>
  <c r="AA23" i="5"/>
  <c r="Z23" i="5"/>
  <c r="U23" i="5"/>
  <c r="W23" i="5" s="1"/>
  <c r="S23" i="5"/>
  <c r="R23" i="5"/>
  <c r="AC21" i="5"/>
  <c r="U21" i="5"/>
  <c r="AG21" i="5" s="1"/>
  <c r="AC20" i="5"/>
  <c r="U20" i="5"/>
  <c r="AC19" i="5"/>
  <c r="AA19" i="5"/>
  <c r="Z19" i="5"/>
  <c r="U19" i="5"/>
  <c r="S19" i="5"/>
  <c r="R19" i="5"/>
  <c r="AC17" i="5"/>
  <c r="U17" i="5"/>
  <c r="AC16" i="5"/>
  <c r="U16" i="5"/>
  <c r="AC15" i="5"/>
  <c r="AA15" i="5"/>
  <c r="Z15" i="5"/>
  <c r="U15" i="5"/>
  <c r="S15" i="5"/>
  <c r="R15" i="5"/>
  <c r="AC13" i="5"/>
  <c r="U13" i="5"/>
  <c r="AC12" i="5"/>
  <c r="U12" i="5"/>
  <c r="AC11" i="5"/>
  <c r="AA11" i="5"/>
  <c r="Z11" i="5"/>
  <c r="U11" i="5"/>
  <c r="S11" i="5"/>
  <c r="R11" i="5"/>
  <c r="AC33" i="6"/>
  <c r="U33" i="6"/>
  <c r="AC32" i="6"/>
  <c r="U32" i="6"/>
  <c r="AC31" i="6"/>
  <c r="AE31" i="6" s="1"/>
  <c r="AA31" i="6"/>
  <c r="Z31" i="6"/>
  <c r="U31" i="6"/>
  <c r="S31" i="6"/>
  <c r="R31" i="6"/>
  <c r="AC29" i="6"/>
  <c r="U29" i="6"/>
  <c r="AC28" i="6"/>
  <c r="U28" i="6"/>
  <c r="AC27" i="6"/>
  <c r="AA27" i="6"/>
  <c r="Z27" i="6"/>
  <c r="U27" i="6"/>
  <c r="S27" i="6"/>
  <c r="R27" i="6"/>
  <c r="AC25" i="6"/>
  <c r="U25" i="6"/>
  <c r="AC24" i="6"/>
  <c r="U24" i="6"/>
  <c r="AC23" i="6"/>
  <c r="AA23" i="6"/>
  <c r="Z23" i="6"/>
  <c r="U23" i="6"/>
  <c r="S23" i="6"/>
  <c r="R23" i="6"/>
  <c r="AC21" i="6"/>
  <c r="U21" i="6"/>
  <c r="AC20" i="6"/>
  <c r="U20" i="6"/>
  <c r="AG20" i="6" s="1"/>
  <c r="AC19" i="6"/>
  <c r="AA19" i="6"/>
  <c r="Z19" i="6"/>
  <c r="U19" i="6"/>
  <c r="S19" i="6"/>
  <c r="R19" i="6"/>
  <c r="AC17" i="6"/>
  <c r="U17" i="6"/>
  <c r="AC16" i="6"/>
  <c r="U16" i="6"/>
  <c r="AC15" i="6"/>
  <c r="AA15" i="6"/>
  <c r="Z15" i="6"/>
  <c r="U15" i="6"/>
  <c r="S15" i="6"/>
  <c r="R15" i="6"/>
  <c r="AC13" i="6"/>
  <c r="U13" i="6"/>
  <c r="AC12" i="6"/>
  <c r="U12" i="6"/>
  <c r="AC11" i="6"/>
  <c r="AA11" i="6"/>
  <c r="Z11" i="6"/>
  <c r="U11" i="6"/>
  <c r="S11" i="6"/>
  <c r="R11" i="6"/>
  <c r="AA31" i="7"/>
  <c r="Z31" i="7"/>
  <c r="S31" i="7"/>
  <c r="R31" i="7"/>
  <c r="AC33" i="7"/>
  <c r="U33" i="7"/>
  <c r="W31" i="7" s="1"/>
  <c r="AC32" i="7"/>
  <c r="U32" i="7"/>
  <c r="AC31" i="7"/>
  <c r="AE31" i="7" s="1"/>
  <c r="U31" i="7"/>
  <c r="AC29" i="7"/>
  <c r="U29" i="7"/>
  <c r="AC28" i="7"/>
  <c r="U28" i="7"/>
  <c r="AC27" i="7"/>
  <c r="AA27" i="7"/>
  <c r="Z27" i="7"/>
  <c r="U27" i="7"/>
  <c r="S27" i="7"/>
  <c r="R27" i="7"/>
  <c r="AC25" i="7"/>
  <c r="U25" i="7"/>
  <c r="AC24" i="7"/>
  <c r="U24" i="7"/>
  <c r="AC23" i="7"/>
  <c r="AA23" i="7"/>
  <c r="Z23" i="7"/>
  <c r="U23" i="7"/>
  <c r="S23" i="7"/>
  <c r="R23" i="7"/>
  <c r="AC21" i="7"/>
  <c r="U21" i="7"/>
  <c r="AC20" i="7"/>
  <c r="U20" i="7"/>
  <c r="AG20" i="7" s="1"/>
  <c r="AC19" i="7"/>
  <c r="AA19" i="7"/>
  <c r="Z19" i="7"/>
  <c r="U19" i="7"/>
  <c r="S19" i="7"/>
  <c r="R19" i="7"/>
  <c r="AC17" i="7"/>
  <c r="U17" i="7"/>
  <c r="AC16" i="7"/>
  <c r="U16" i="7"/>
  <c r="AC15" i="7"/>
  <c r="AA15" i="7"/>
  <c r="Z15" i="7"/>
  <c r="U15" i="7"/>
  <c r="S15" i="7"/>
  <c r="R15" i="7"/>
  <c r="AC13" i="7"/>
  <c r="AD37" i="7" s="1"/>
  <c r="U13" i="7"/>
  <c r="V37" i="7" s="1"/>
  <c r="AC12" i="7"/>
  <c r="U12" i="7"/>
  <c r="AC11" i="7"/>
  <c r="AA11" i="7"/>
  <c r="Z11" i="7"/>
  <c r="U11" i="7"/>
  <c r="S11" i="7"/>
  <c r="R11" i="7"/>
  <c r="AG25" i="2" l="1"/>
  <c r="AG28" i="2"/>
  <c r="AD31" i="2"/>
  <c r="AD37" i="2"/>
  <c r="W27" i="3"/>
  <c r="AD31" i="3"/>
  <c r="AE23" i="3"/>
  <c r="AD23" i="4"/>
  <c r="AG31" i="4"/>
  <c r="AI31" i="4" s="1"/>
  <c r="AD11" i="4"/>
  <c r="AE27" i="4"/>
  <c r="V19" i="4"/>
  <c r="W27" i="5"/>
  <c r="AG33" i="7"/>
  <c r="V31" i="7"/>
  <c r="AE27" i="7"/>
  <c r="AD31" i="7"/>
  <c r="AG29" i="2"/>
  <c r="AE23" i="2"/>
  <c r="AG21" i="2"/>
  <c r="AG32" i="2"/>
  <c r="AD27" i="2"/>
  <c r="AG24" i="2"/>
  <c r="AH23" i="2" s="1"/>
  <c r="AE19" i="2"/>
  <c r="AD35" i="2"/>
  <c r="AG19" i="2"/>
  <c r="AD36" i="2"/>
  <c r="AD15" i="2"/>
  <c r="AG16" i="2"/>
  <c r="AE15" i="2"/>
  <c r="AD11" i="2"/>
  <c r="AG13" i="2"/>
  <c r="V27" i="2"/>
  <c r="W27" i="2"/>
  <c r="V23" i="2"/>
  <c r="W23" i="2"/>
  <c r="AG20" i="2"/>
  <c r="AG17" i="2"/>
  <c r="W15" i="2"/>
  <c r="V36" i="2"/>
  <c r="V35" i="2"/>
  <c r="V27" i="3"/>
  <c r="AE15" i="3"/>
  <c r="AE19" i="3"/>
  <c r="AG33" i="3"/>
  <c r="AG32" i="3"/>
  <c r="AE27" i="3"/>
  <c r="AG29" i="3"/>
  <c r="AG28" i="3"/>
  <c r="AD27" i="3"/>
  <c r="AG27" i="3"/>
  <c r="AG25" i="3"/>
  <c r="AI23" i="3" s="1"/>
  <c r="AG23" i="3"/>
  <c r="AD37" i="3"/>
  <c r="AG21" i="3"/>
  <c r="AD35" i="3"/>
  <c r="AD36" i="3"/>
  <c r="AG11" i="3"/>
  <c r="AD11" i="3"/>
  <c r="AE11" i="3"/>
  <c r="V31" i="3"/>
  <c r="V23" i="3"/>
  <c r="AG20" i="3"/>
  <c r="V36" i="3"/>
  <c r="W19" i="3"/>
  <c r="W15" i="3"/>
  <c r="AG17" i="3"/>
  <c r="AG20" i="4"/>
  <c r="AG27" i="4"/>
  <c r="AI27" i="4" s="1"/>
  <c r="AG24" i="4"/>
  <c r="AE31" i="4"/>
  <c r="AD31" i="4"/>
  <c r="AE23" i="4"/>
  <c r="AG21" i="4"/>
  <c r="AE19" i="4"/>
  <c r="AD15" i="4"/>
  <c r="AG17" i="4"/>
  <c r="AG16" i="4"/>
  <c r="AD35" i="4"/>
  <c r="AD37" i="4"/>
  <c r="V31" i="4"/>
  <c r="W31" i="4"/>
  <c r="AG28" i="4"/>
  <c r="V27" i="4"/>
  <c r="W27" i="4"/>
  <c r="W23" i="4"/>
  <c r="W19" i="4"/>
  <c r="W15" i="4"/>
  <c r="V36" i="4"/>
  <c r="V11" i="4"/>
  <c r="V27" i="5"/>
  <c r="AD15" i="5"/>
  <c r="AG13" i="5"/>
  <c r="AG16" i="5"/>
  <c r="AG23" i="5"/>
  <c r="AE19" i="5"/>
  <c r="AG33" i="5"/>
  <c r="AG32" i="5"/>
  <c r="AD31" i="5"/>
  <c r="AE27" i="5"/>
  <c r="AG29" i="5"/>
  <c r="AG28" i="5"/>
  <c r="AD27" i="5"/>
  <c r="AG27" i="5"/>
  <c r="AG25" i="5"/>
  <c r="AD37" i="5"/>
  <c r="AD36" i="5"/>
  <c r="AE23" i="5"/>
  <c r="AG24" i="5"/>
  <c r="AG19" i="5"/>
  <c r="AD35" i="5"/>
  <c r="AE15" i="5"/>
  <c r="AD11" i="5"/>
  <c r="AE11" i="5"/>
  <c r="W31" i="5"/>
  <c r="V23" i="5"/>
  <c r="AG20" i="5"/>
  <c r="AI19" i="5" s="1"/>
  <c r="W15" i="5"/>
  <c r="AG17" i="5"/>
  <c r="V36" i="5"/>
  <c r="V35" i="5"/>
  <c r="W11" i="5"/>
  <c r="V15" i="6"/>
  <c r="AE27" i="6"/>
  <c r="V27" i="6"/>
  <c r="AD19" i="6"/>
  <c r="AG28" i="6"/>
  <c r="AE19" i="6"/>
  <c r="AE15" i="6"/>
  <c r="AG16" i="6"/>
  <c r="V31" i="6"/>
  <c r="W23" i="6"/>
  <c r="W19" i="6"/>
  <c r="AG12" i="6"/>
  <c r="AI23" i="2"/>
  <c r="AH27" i="2"/>
  <c r="AI27" i="2"/>
  <c r="AE11" i="2"/>
  <c r="V19" i="2"/>
  <c r="AD23" i="2"/>
  <c r="AG31" i="2"/>
  <c r="V37" i="2"/>
  <c r="AG11" i="2"/>
  <c r="W19" i="2"/>
  <c r="V31" i="2"/>
  <c r="V11" i="2"/>
  <c r="AG15" i="2"/>
  <c r="V15" i="2"/>
  <c r="AG12" i="2"/>
  <c r="AI27" i="3"/>
  <c r="V19" i="3"/>
  <c r="AD23" i="3"/>
  <c r="AG31" i="3"/>
  <c r="V37" i="3"/>
  <c r="V11" i="3"/>
  <c r="AD15" i="3"/>
  <c r="W11" i="3"/>
  <c r="AG19" i="3"/>
  <c r="AG15" i="3"/>
  <c r="V35" i="3"/>
  <c r="V15" i="3"/>
  <c r="AD19" i="3"/>
  <c r="AG12" i="3"/>
  <c r="AH11" i="3" s="1"/>
  <c r="AH31" i="4"/>
  <c r="AG19" i="4"/>
  <c r="AD36" i="4"/>
  <c r="AE11" i="4"/>
  <c r="V37" i="4"/>
  <c r="AG23" i="4"/>
  <c r="AG25" i="4"/>
  <c r="W11" i="4"/>
  <c r="AE15" i="4"/>
  <c r="V23" i="4"/>
  <c r="AD27" i="4"/>
  <c r="AG15" i="4"/>
  <c r="V35" i="4"/>
  <c r="AG11" i="4"/>
  <c r="V15" i="4"/>
  <c r="AD19" i="4"/>
  <c r="AG12" i="4"/>
  <c r="AI23" i="5"/>
  <c r="AH23" i="5"/>
  <c r="V19" i="5"/>
  <c r="AD23" i="5"/>
  <c r="AG31" i="5"/>
  <c r="V37" i="5"/>
  <c r="AG11" i="5"/>
  <c r="W19" i="5"/>
  <c r="V31" i="5"/>
  <c r="V11" i="5"/>
  <c r="AG15" i="5"/>
  <c r="V15" i="5"/>
  <c r="AD19" i="5"/>
  <c r="AG12" i="5"/>
  <c r="AG32" i="6"/>
  <c r="AD31" i="6"/>
  <c r="AG29" i="6"/>
  <c r="AG27" i="6"/>
  <c r="AH27" i="6" s="1"/>
  <c r="AG25" i="6"/>
  <c r="AD35" i="6"/>
  <c r="AD37" i="6"/>
  <c r="AG17" i="6"/>
  <c r="AD15" i="6"/>
  <c r="W31" i="6"/>
  <c r="W27" i="6"/>
  <c r="AG24" i="6"/>
  <c r="AG23" i="6"/>
  <c r="AG21" i="6"/>
  <c r="V36" i="6"/>
  <c r="V35" i="6"/>
  <c r="W15" i="6"/>
  <c r="W11" i="6"/>
  <c r="AD11" i="6"/>
  <c r="AD36" i="6"/>
  <c r="AE11" i="6"/>
  <c r="V19" i="6"/>
  <c r="AD23" i="6"/>
  <c r="AG31" i="6"/>
  <c r="AG33" i="6"/>
  <c r="V37" i="6"/>
  <c r="AG19" i="6"/>
  <c r="AG11" i="6"/>
  <c r="AG13" i="6"/>
  <c r="AE23" i="6"/>
  <c r="V11" i="6"/>
  <c r="V23" i="6"/>
  <c r="AD27" i="6"/>
  <c r="AG15" i="6"/>
  <c r="AD19" i="7"/>
  <c r="AG32" i="7"/>
  <c r="AG29" i="7"/>
  <c r="AG28" i="7"/>
  <c r="AG23" i="7"/>
  <c r="AE19" i="7"/>
  <c r="AG15" i="7"/>
  <c r="V36" i="7"/>
  <c r="AG17" i="7"/>
  <c r="AD35" i="7"/>
  <c r="V15" i="7"/>
  <c r="AD11" i="7"/>
  <c r="W27" i="7"/>
  <c r="AD27" i="7"/>
  <c r="W11" i="7"/>
  <c r="AE15" i="7"/>
  <c r="W19" i="7"/>
  <c r="AE23" i="7"/>
  <c r="AG16" i="7"/>
  <c r="AG21" i="7"/>
  <c r="W23" i="7"/>
  <c r="V35" i="7"/>
  <c r="V38" i="7" s="1"/>
  <c r="AG25" i="7"/>
  <c r="AG27" i="7"/>
  <c r="AD36" i="7"/>
  <c r="AG12" i="7"/>
  <c r="W15" i="7"/>
  <c r="V27" i="7"/>
  <c r="AG19" i="7"/>
  <c r="AE11" i="7"/>
  <c r="V19" i="7"/>
  <c r="AD23" i="7"/>
  <c r="AG31" i="7"/>
  <c r="AG11" i="7"/>
  <c r="AG13" i="7"/>
  <c r="V11" i="7"/>
  <c r="AD15" i="7"/>
  <c r="AG24" i="7"/>
  <c r="V23" i="7"/>
  <c r="AH23" i="3" l="1"/>
  <c r="AH27" i="4"/>
  <c r="AH27" i="5"/>
  <c r="AI31" i="7"/>
  <c r="AH31" i="7"/>
  <c r="AD39" i="2"/>
  <c r="AI19" i="2"/>
  <c r="AD38" i="2"/>
  <c r="AH19" i="2"/>
  <c r="AD34" i="2"/>
  <c r="V38" i="2"/>
  <c r="V39" i="2"/>
  <c r="V34" i="2"/>
  <c r="AH27" i="3"/>
  <c r="AD39" i="3"/>
  <c r="AI11" i="3"/>
  <c r="AD38" i="3"/>
  <c r="AD34" i="3"/>
  <c r="V34" i="3"/>
  <c r="AD39" i="4"/>
  <c r="AD38" i="4"/>
  <c r="AD34" i="4"/>
  <c r="V34" i="4"/>
  <c r="AD38" i="5"/>
  <c r="AI27" i="5"/>
  <c r="AD39" i="5"/>
  <c r="AH19" i="5"/>
  <c r="AD34" i="5"/>
  <c r="V39" i="5"/>
  <c r="V38" i="5"/>
  <c r="V34" i="5"/>
  <c r="AD38" i="6"/>
  <c r="AI27" i="6"/>
  <c r="AH23" i="6"/>
  <c r="AI31" i="2"/>
  <c r="AH31" i="2"/>
  <c r="AI11" i="2"/>
  <c r="AH11" i="2"/>
  <c r="AI15" i="2"/>
  <c r="AH15" i="2"/>
  <c r="AI19" i="3"/>
  <c r="AH19" i="3"/>
  <c r="AH31" i="3"/>
  <c r="AI31" i="3"/>
  <c r="V39" i="3"/>
  <c r="V38" i="3"/>
  <c r="AI15" i="3"/>
  <c r="AH15" i="3"/>
  <c r="AI19" i="4"/>
  <c r="AH19" i="4"/>
  <c r="AI11" i="4"/>
  <c r="AH11" i="4"/>
  <c r="AI23" i="4"/>
  <c r="AH23" i="4"/>
  <c r="V39" i="4"/>
  <c r="V38" i="4"/>
  <c r="AI15" i="4"/>
  <c r="AH15" i="4"/>
  <c r="AI11" i="5"/>
  <c r="AH11" i="5"/>
  <c r="AI31" i="5"/>
  <c r="AH31" i="5"/>
  <c r="AI15" i="5"/>
  <c r="AH15" i="5"/>
  <c r="AD39" i="6"/>
  <c r="AI23" i="6"/>
  <c r="V39" i="6"/>
  <c r="V34" i="6"/>
  <c r="V38" i="6"/>
  <c r="AH38" i="6" s="1"/>
  <c r="AI31" i="6"/>
  <c r="AH31" i="6"/>
  <c r="AH11" i="6"/>
  <c r="AI11" i="6"/>
  <c r="AH15" i="6"/>
  <c r="AI15" i="6"/>
  <c r="AI19" i="6"/>
  <c r="AH19" i="6"/>
  <c r="AD34" i="6"/>
  <c r="AH15" i="7"/>
  <c r="AI15" i="7"/>
  <c r="AD39" i="7"/>
  <c r="V39" i="7"/>
  <c r="AD34" i="7"/>
  <c r="AI23" i="7"/>
  <c r="V34" i="7"/>
  <c r="AD38" i="7"/>
  <c r="AH38" i="7" s="1"/>
  <c r="AI19" i="7"/>
  <c r="AH19" i="7"/>
  <c r="AI11" i="7"/>
  <c r="AH11" i="7"/>
  <c r="AH23" i="7"/>
  <c r="AI27" i="7"/>
  <c r="AH27" i="7"/>
  <c r="AH38" i="5" l="1"/>
  <c r="AH38" i="2"/>
  <c r="AH34" i="2"/>
  <c r="AH38" i="3"/>
  <c r="AH34" i="3"/>
  <c r="AH38" i="4"/>
  <c r="AH34" i="4"/>
  <c r="AH34" i="5"/>
  <c r="AH34" i="6"/>
  <c r="AH34" i="7"/>
  <c r="O31" i="7" l="1"/>
  <c r="N31" i="7"/>
  <c r="O27" i="7"/>
  <c r="N27" i="7"/>
  <c r="O23" i="7"/>
  <c r="N23" i="7"/>
  <c r="O19" i="7"/>
  <c r="N19" i="7"/>
  <c r="O15" i="7"/>
  <c r="N15" i="7"/>
  <c r="O11" i="7"/>
  <c r="N11" i="7"/>
  <c r="O31" i="6"/>
  <c r="N31" i="6"/>
  <c r="O27" i="6"/>
  <c r="N27" i="6"/>
  <c r="O23" i="6"/>
  <c r="N23" i="6"/>
  <c r="O19" i="6"/>
  <c r="N19" i="6"/>
  <c r="O15" i="6"/>
  <c r="N15" i="6"/>
  <c r="O11" i="6"/>
  <c r="N11" i="6"/>
  <c r="O31" i="5"/>
  <c r="N31" i="5"/>
  <c r="O27" i="5"/>
  <c r="N27" i="5"/>
  <c r="O23" i="5"/>
  <c r="N23" i="5"/>
  <c r="O19" i="5"/>
  <c r="N19" i="5"/>
  <c r="O15" i="5"/>
  <c r="N15" i="5"/>
  <c r="O11" i="5"/>
  <c r="N11" i="5"/>
  <c r="O31" i="4"/>
  <c r="N31" i="4"/>
  <c r="O27" i="4"/>
  <c r="N27" i="4"/>
  <c r="O23" i="4"/>
  <c r="N23" i="4"/>
  <c r="O19" i="4"/>
  <c r="N19" i="4"/>
  <c r="O15" i="4"/>
  <c r="N15" i="4"/>
  <c r="O11" i="4"/>
  <c r="N11" i="4"/>
  <c r="O31" i="3"/>
  <c r="N31" i="3"/>
  <c r="O27" i="3"/>
  <c r="N27" i="3"/>
  <c r="O23" i="3"/>
  <c r="N23" i="3"/>
  <c r="O19" i="3"/>
  <c r="N19" i="3"/>
  <c r="O15" i="3"/>
  <c r="N15" i="3"/>
  <c r="O11" i="3"/>
  <c r="N11" i="3"/>
  <c r="O31" i="2"/>
  <c r="N31" i="2"/>
  <c r="O27" i="2"/>
  <c r="N27" i="2"/>
  <c r="O23" i="2"/>
  <c r="N23" i="2"/>
  <c r="O19" i="2"/>
  <c r="N19" i="2"/>
  <c r="O15" i="2"/>
  <c r="N15" i="2"/>
  <c r="N11" i="2"/>
  <c r="O11" i="2"/>
  <c r="K11" i="3"/>
  <c r="K31" i="7"/>
  <c r="J31" i="7"/>
  <c r="K27" i="7"/>
  <c r="J27" i="7"/>
  <c r="K23" i="7"/>
  <c r="J23" i="7"/>
  <c r="K19" i="7"/>
  <c r="J19" i="7"/>
  <c r="K15" i="7"/>
  <c r="J11" i="7"/>
  <c r="K31" i="6"/>
  <c r="J31" i="6"/>
  <c r="K27" i="6"/>
  <c r="J27" i="6"/>
  <c r="K23" i="6"/>
  <c r="J23" i="6"/>
  <c r="K19" i="6"/>
  <c r="J19" i="6"/>
  <c r="K15" i="6"/>
  <c r="J11" i="6"/>
  <c r="K31" i="5"/>
  <c r="J31" i="5"/>
  <c r="K27" i="5"/>
  <c r="J27" i="5"/>
  <c r="K23" i="5"/>
  <c r="J23" i="5"/>
  <c r="K19" i="5"/>
  <c r="J19" i="5"/>
  <c r="K15" i="5"/>
  <c r="J15" i="5"/>
  <c r="J11" i="5"/>
  <c r="K11" i="5"/>
  <c r="K31" i="4"/>
  <c r="J31" i="4"/>
  <c r="K27" i="4"/>
  <c r="J27" i="4"/>
  <c r="K23" i="4"/>
  <c r="J23" i="4"/>
  <c r="K19" i="4"/>
  <c r="J19" i="4"/>
  <c r="K15" i="4"/>
  <c r="J11" i="4"/>
  <c r="K31" i="3"/>
  <c r="J31" i="3"/>
  <c r="K27" i="3"/>
  <c r="J27" i="3"/>
  <c r="K23" i="3"/>
  <c r="J23" i="3"/>
  <c r="K19" i="3"/>
  <c r="J19" i="3"/>
  <c r="K15" i="3"/>
  <c r="K31" i="2"/>
  <c r="J31" i="2"/>
  <c r="K27" i="2"/>
  <c r="J27" i="2"/>
  <c r="K23" i="2"/>
  <c r="J23" i="2"/>
  <c r="K19" i="2"/>
  <c r="J19" i="2"/>
  <c r="K11" i="2"/>
  <c r="G31" i="2"/>
  <c r="F31" i="2"/>
  <c r="G31" i="3"/>
  <c r="F31" i="3"/>
  <c r="G31" i="4"/>
  <c r="F31" i="4"/>
  <c r="G31" i="5"/>
  <c r="F31" i="5"/>
  <c r="G31" i="6"/>
  <c r="F31" i="6"/>
  <c r="G31" i="7"/>
  <c r="F31" i="7"/>
  <c r="G27" i="7"/>
  <c r="F27" i="7"/>
  <c r="G23" i="7"/>
  <c r="F23" i="7"/>
  <c r="G19" i="7"/>
  <c r="F19" i="7"/>
  <c r="G15" i="7"/>
  <c r="F15" i="7"/>
  <c r="G11" i="7"/>
  <c r="F11" i="7"/>
  <c r="G27" i="6"/>
  <c r="F27" i="6"/>
  <c r="G23" i="6"/>
  <c r="F23" i="6"/>
  <c r="G19" i="6"/>
  <c r="F19" i="6"/>
  <c r="G15" i="6"/>
  <c r="F15" i="6"/>
  <c r="G11" i="6"/>
  <c r="F11" i="6"/>
  <c r="G27" i="5"/>
  <c r="F27" i="5"/>
  <c r="G23" i="5"/>
  <c r="F23" i="5"/>
  <c r="G19" i="5"/>
  <c r="F19" i="5"/>
  <c r="G15" i="5"/>
  <c r="F15" i="5"/>
  <c r="G11" i="5"/>
  <c r="F11" i="5"/>
  <c r="G27" i="4"/>
  <c r="F27" i="4"/>
  <c r="G23" i="4"/>
  <c r="F23" i="4"/>
  <c r="G19" i="4"/>
  <c r="F19" i="4"/>
  <c r="G15" i="4"/>
  <c r="F15" i="4"/>
  <c r="G11" i="4"/>
  <c r="F11" i="4"/>
  <c r="G27" i="3"/>
  <c r="F27" i="3"/>
  <c r="G23" i="3"/>
  <c r="F23" i="3"/>
  <c r="G19" i="3"/>
  <c r="F19" i="3"/>
  <c r="G15" i="3"/>
  <c r="F15" i="3"/>
  <c r="G11" i="3"/>
  <c r="F11" i="3"/>
  <c r="G27" i="2"/>
  <c r="F27" i="2"/>
  <c r="G23" i="2"/>
  <c r="F23" i="2"/>
  <c r="G19" i="2"/>
  <c r="F19" i="2"/>
  <c r="G15" i="2"/>
  <c r="F15" i="2"/>
  <c r="G11" i="2"/>
  <c r="F11" i="2"/>
  <c r="J15" i="2" l="1"/>
  <c r="K15" i="2"/>
  <c r="J11" i="2"/>
  <c r="J11" i="3"/>
  <c r="K11" i="7"/>
  <c r="J15" i="7"/>
  <c r="K11" i="6"/>
  <c r="J15" i="6"/>
  <c r="K11" i="4"/>
  <c r="J15" i="4"/>
  <c r="J15" i="3"/>
</calcChain>
</file>

<file path=xl/sharedStrings.xml><?xml version="1.0" encoding="utf-8"?>
<sst xmlns="http://schemas.openxmlformats.org/spreadsheetml/2006/main" count="527" uniqueCount="30">
  <si>
    <t>A</t>
  </si>
  <si>
    <t>B</t>
  </si>
  <si>
    <t>C</t>
  </si>
  <si>
    <t xml:space="preserve"> A 337 nm</t>
  </si>
  <si>
    <t>average</t>
  </si>
  <si>
    <t>stdev</t>
  </si>
  <si>
    <t xml:space="preserve"> </t>
  </si>
  <si>
    <t>Conductivity</t>
  </si>
  <si>
    <t>pH</t>
  </si>
  <si>
    <t>100% ASW (0.72 M NaCl)</t>
  </si>
  <si>
    <r>
      <rPr>
        <sz val="11"/>
        <rFont val="Calibri"/>
        <family val="2"/>
      </rPr>
      <t>µ</t>
    </r>
    <r>
      <rPr>
        <sz val="11"/>
        <rFont val="Calibri"/>
        <family val="2"/>
        <scheme val="minor"/>
      </rPr>
      <t>S cm</t>
    </r>
    <r>
      <rPr>
        <vertAlign val="superscript"/>
        <sz val="11"/>
        <rFont val="Calibri"/>
        <family val="2"/>
        <scheme val="minor"/>
      </rPr>
      <t>-1</t>
    </r>
  </si>
  <si>
    <t>25% ASW (0.18 M NaCl)</t>
  </si>
  <si>
    <t>5% ASW (36 mM NaCl)</t>
  </si>
  <si>
    <t>1% ASW (7.2 mM NaCl)</t>
  </si>
  <si>
    <t>0.1% ASW (0.72 mM NaCl)</t>
  </si>
  <si>
    <t>DOC</t>
  </si>
  <si>
    <t>TC</t>
  </si>
  <si>
    <t>TDN</t>
  </si>
  <si>
    <t>TN</t>
  </si>
  <si>
    <t>C:N</t>
  </si>
  <si>
    <r>
      <t>mg L</t>
    </r>
    <r>
      <rPr>
        <vertAlign val="superscript"/>
        <sz val="11"/>
        <color theme="1"/>
        <rFont val="Calibri"/>
        <family val="2"/>
        <scheme val="minor"/>
      </rPr>
      <t>-1</t>
    </r>
  </si>
  <si>
    <t>mg</t>
  </si>
  <si>
    <t>ratio</t>
  </si>
  <si>
    <t>TC mg</t>
  </si>
  <si>
    <t>TN mg</t>
  </si>
  <si>
    <t>ΣRepA</t>
  </si>
  <si>
    <t>ΣRepB</t>
  </si>
  <si>
    <t>ΣRepC</t>
  </si>
  <si>
    <t>Stdev</t>
  </si>
  <si>
    <t>0% ASW (0 mM NaCl)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</si>
</sst>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5" fillId="0" borderId="0" xfId="0" applyFont="1"/>
    <xf numFmtId="164" fontId="4" fillId="0" borderId="0" xfId="0" applyNumberFormat="1" applyFont="1" applyAlignment="1">
      <alignment horizontal="center"/>
    </xf>
    <xf numFmtId="166" fontId="0" fillId="0" borderId="0" xfId="0" applyNumberFormat="1"/>
    <xf numFmtId="0" fontId="4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0" fillId="2" borderId="0" xfId="0" applyFont="1" applyFill="1"/>
    <xf numFmtId="2" fontId="10" fillId="2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166" fontId="5" fillId="2" borderId="0" xfId="0" applyNumberFormat="1" applyFont="1" applyFill="1"/>
    <xf numFmtId="0" fontId="6" fillId="0" borderId="0" xfId="0" applyFont="1"/>
    <xf numFmtId="0" fontId="11" fillId="2" borderId="0" xfId="0" applyFont="1" applyFill="1"/>
    <xf numFmtId="2" fontId="12" fillId="2" borderId="0" xfId="0" applyNumberFormat="1" applyFont="1" applyFill="1"/>
    <xf numFmtId="166" fontId="1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9C16-492D-4657-B316-637FFFD1ED3A}">
  <sheetPr>
    <pageSetUpPr fitToPage="1"/>
  </sheetPr>
  <dimension ref="A6:AJ57"/>
  <sheetViews>
    <sheetView tabSelected="1" workbookViewId="0">
      <selection activeCell="B5" sqref="B5"/>
    </sheetView>
  </sheetViews>
  <sheetFormatPr defaultRowHeight="15.75" x14ac:dyDescent="0.25"/>
  <cols>
    <col min="1" max="1" width="8.85546875" style="1"/>
    <col min="2" max="2" width="7.42578125" customWidth="1"/>
    <col min="3" max="4" width="3.42578125" customWidth="1"/>
    <col min="5" max="5" width="10.7109375" style="5" customWidth="1"/>
    <col min="6" max="6" width="11.140625" style="5" customWidth="1"/>
    <col min="7" max="7" width="8.28515625" style="5" customWidth="1"/>
    <col min="8" max="8" width="2.5703125" style="7" customWidth="1"/>
    <col min="9" max="9" width="12.7109375" style="7" customWidth="1"/>
    <col min="10" max="11" width="7.42578125" style="7" customWidth="1"/>
    <col min="12" max="12" width="2.5703125" style="7" customWidth="1"/>
    <col min="13" max="13" width="9.42578125" style="7" customWidth="1"/>
    <col min="14" max="15" width="8.42578125" style="7" customWidth="1"/>
    <col min="16" max="16" width="2" customWidth="1"/>
    <col min="20" max="20" width="2.28515625" customWidth="1"/>
    <col min="22" max="23" width="9.140625" style="14"/>
    <col min="24" max="24" width="2" customWidth="1"/>
    <col min="28" max="28" width="1.5703125" customWidth="1"/>
    <col min="30" max="31" width="9.140625" style="14"/>
    <col min="32" max="32" width="1.5703125" customWidth="1"/>
    <col min="34" max="35" width="9.140625" style="6"/>
    <col min="36" max="36" width="1.85546875" style="7" customWidth="1"/>
  </cols>
  <sheetData>
    <row r="6" spans="1:36" x14ac:dyDescent="0.25">
      <c r="B6" s="4" t="s">
        <v>29</v>
      </c>
    </row>
    <row r="7" spans="1:36" x14ac:dyDescent="0.25">
      <c r="E7" s="9" t="s">
        <v>6</v>
      </c>
      <c r="I7" s="10" t="s">
        <v>6</v>
      </c>
      <c r="J7" s="10"/>
      <c r="K7" s="10"/>
      <c r="L7" s="10"/>
      <c r="M7" s="10" t="s">
        <v>6</v>
      </c>
    </row>
    <row r="8" spans="1:36" x14ac:dyDescent="0.25">
      <c r="I8" s="10" t="s">
        <v>7</v>
      </c>
      <c r="J8" s="10"/>
      <c r="K8" s="10"/>
      <c r="M8" s="7" t="s">
        <v>6</v>
      </c>
      <c r="Q8" s="2" t="s">
        <v>15</v>
      </c>
      <c r="R8" s="2"/>
      <c r="S8" s="2"/>
      <c r="U8" s="2" t="s">
        <v>16</v>
      </c>
      <c r="V8" s="15"/>
      <c r="W8" s="15"/>
      <c r="Y8" s="2" t="s">
        <v>17</v>
      </c>
      <c r="Z8" s="2"/>
      <c r="AA8" s="2"/>
      <c r="AC8" s="2" t="s">
        <v>18</v>
      </c>
      <c r="AD8" s="15"/>
      <c r="AE8" s="15"/>
      <c r="AG8" t="s">
        <v>19</v>
      </c>
      <c r="AH8" s="8"/>
      <c r="AI8" s="8"/>
    </row>
    <row r="9" spans="1:36" s="3" customFormat="1" ht="16.899999999999999" customHeight="1" x14ac:dyDescent="0.3">
      <c r="A9" s="1"/>
      <c r="B9"/>
      <c r="C9"/>
      <c r="D9"/>
      <c r="E9" s="9" t="s">
        <v>3</v>
      </c>
      <c r="F9" s="9" t="s">
        <v>4</v>
      </c>
      <c r="G9" s="9" t="s">
        <v>5</v>
      </c>
      <c r="H9" s="7" t="s">
        <v>6</v>
      </c>
      <c r="I9" s="10" t="s">
        <v>10</v>
      </c>
      <c r="J9" s="10" t="s">
        <v>4</v>
      </c>
      <c r="K9" s="10" t="s">
        <v>5</v>
      </c>
      <c r="L9" s="7" t="s">
        <v>6</v>
      </c>
      <c r="M9" s="13" t="s">
        <v>8</v>
      </c>
      <c r="N9" s="10" t="s">
        <v>4</v>
      </c>
      <c r="O9" s="10" t="s">
        <v>5</v>
      </c>
      <c r="P9"/>
      <c r="Q9" s="2" t="s">
        <v>20</v>
      </c>
      <c r="R9" s="2" t="s">
        <v>4</v>
      </c>
      <c r="S9" s="2" t="s">
        <v>5</v>
      </c>
      <c r="T9"/>
      <c r="U9" s="2" t="s">
        <v>21</v>
      </c>
      <c r="V9" s="15" t="s">
        <v>4</v>
      </c>
      <c r="W9" s="15" t="s">
        <v>5</v>
      </c>
      <c r="Y9" s="2" t="s">
        <v>20</v>
      </c>
      <c r="Z9" s="2" t="s">
        <v>4</v>
      </c>
      <c r="AA9" s="2" t="s">
        <v>5</v>
      </c>
      <c r="AC9" s="2" t="s">
        <v>21</v>
      </c>
      <c r="AD9" s="15" t="s">
        <v>4</v>
      </c>
      <c r="AE9" s="15" t="s">
        <v>5</v>
      </c>
      <c r="AG9" t="s">
        <v>22</v>
      </c>
      <c r="AH9" s="8" t="s">
        <v>4</v>
      </c>
      <c r="AI9" s="8" t="s">
        <v>5</v>
      </c>
      <c r="AJ9" s="10"/>
    </row>
    <row r="10" spans="1:36" s="3" customFormat="1" ht="16.899999999999999" customHeight="1" x14ac:dyDescent="0.3">
      <c r="A10" s="1"/>
      <c r="B10"/>
      <c r="C10"/>
      <c r="D10"/>
      <c r="E10" s="9"/>
      <c r="F10" s="9"/>
      <c r="G10" s="9"/>
      <c r="H10" s="7"/>
      <c r="I10" s="10"/>
      <c r="J10" s="10"/>
      <c r="K10" s="10"/>
      <c r="L10" s="7"/>
      <c r="M10" s="10"/>
      <c r="N10" s="10"/>
      <c r="O10" s="10"/>
      <c r="P10"/>
      <c r="Q10"/>
      <c r="R10"/>
      <c r="S10"/>
      <c r="T10"/>
      <c r="U10"/>
      <c r="V10" s="14"/>
      <c r="W10" s="14"/>
      <c r="Y10"/>
      <c r="Z10"/>
      <c r="AA10"/>
      <c r="AC10"/>
      <c r="AD10" s="14"/>
      <c r="AE10" s="14"/>
      <c r="AG10"/>
      <c r="AH10" s="6"/>
      <c r="AI10" s="6"/>
      <c r="AJ10" s="10"/>
    </row>
    <row r="11" spans="1:36" s="3" customFormat="1" ht="16.899999999999999" customHeight="1" x14ac:dyDescent="0.3">
      <c r="A11" s="1"/>
      <c r="B11">
        <v>0</v>
      </c>
      <c r="C11" t="s">
        <v>0</v>
      </c>
      <c r="D11">
        <v>1</v>
      </c>
      <c r="E11" s="9">
        <v>0.56599999999999995</v>
      </c>
      <c r="F11" s="9">
        <f>AVERAGE(E11:E13)</f>
        <v>0.63036666666666663</v>
      </c>
      <c r="G11" s="9">
        <f>STDEV(E11:E13)</f>
        <v>5.6138430093237719E-2</v>
      </c>
      <c r="H11" s="7"/>
      <c r="I11" s="10">
        <v>19.850000000000001</v>
      </c>
      <c r="J11" s="11">
        <f>AVERAGE(I11:I13)</f>
        <v>19.403333333333332</v>
      </c>
      <c r="K11" s="11">
        <f>STDEV(I11:I13)</f>
        <v>0.94299169314121378</v>
      </c>
      <c r="L11" s="7"/>
      <c r="M11" s="10">
        <v>5.77</v>
      </c>
      <c r="N11" s="11">
        <f>AVERAGE(M11:M13)</f>
        <v>5.6233333333333322</v>
      </c>
      <c r="O11" s="11">
        <f>STDEV(M11:M13)</f>
        <v>0.13051181300301254</v>
      </c>
      <c r="P11"/>
      <c r="Q11">
        <v>14.75</v>
      </c>
      <c r="R11" s="16">
        <f>AVERAGE(Q11:Q13)</f>
        <v>18.04</v>
      </c>
      <c r="S11" s="16">
        <f>STDEV(Q11:Q13)</f>
        <v>4.5950081610373674</v>
      </c>
      <c r="T11"/>
      <c r="U11">
        <f>Q11*0.03</f>
        <v>0.4425</v>
      </c>
      <c r="V11" s="15">
        <f>AVERAGE(U11:U13)</f>
        <v>0.54120000000000001</v>
      </c>
      <c r="W11" s="15">
        <f>STDEV(U11:U13)</f>
        <v>0.13785024483112115</v>
      </c>
      <c r="Y11">
        <v>1.06</v>
      </c>
      <c r="Z11" s="16">
        <f>AVERAGE(Y11:Y13)</f>
        <v>1.1733333333333336</v>
      </c>
      <c r="AA11" s="16">
        <f>STDEV(Y11:Y13)</f>
        <v>0.16289055630494212</v>
      </c>
      <c r="AC11">
        <f>Y11*0.03</f>
        <v>3.1800000000000002E-2</v>
      </c>
      <c r="AD11" s="15">
        <f>AVERAGE(AC11:AC13)</f>
        <v>3.5200000000000002E-2</v>
      </c>
      <c r="AE11" s="15">
        <f>STDEV(AC11:AC13)</f>
        <v>4.8867166891482473E-3</v>
      </c>
      <c r="AG11" s="6">
        <f>U11/AC11</f>
        <v>13.915094339622641</v>
      </c>
      <c r="AH11" s="8">
        <f>AVERAGE(AG11:AG13)</f>
        <v>15.219425385934819</v>
      </c>
      <c r="AI11" s="8">
        <f>STDEV(AG11:AG13)</f>
        <v>1.6873037539085614</v>
      </c>
      <c r="AJ11" s="11"/>
    </row>
    <row r="12" spans="1:36" s="3" customFormat="1" ht="16.899999999999999" customHeight="1" x14ac:dyDescent="0.3">
      <c r="A12" s="1"/>
      <c r="B12"/>
      <c r="C12" t="s">
        <v>1</v>
      </c>
      <c r="D12">
        <v>1</v>
      </c>
      <c r="E12" s="9">
        <v>0.66920000000000002</v>
      </c>
      <c r="F12" s="9"/>
      <c r="G12" s="9"/>
      <c r="H12" s="7"/>
      <c r="I12" s="10">
        <v>18.32</v>
      </c>
      <c r="J12" s="10"/>
      <c r="K12" s="10"/>
      <c r="L12" s="7"/>
      <c r="M12" s="10">
        <v>5.52</v>
      </c>
      <c r="N12" s="10"/>
      <c r="O12" s="10"/>
      <c r="P12"/>
      <c r="Q12">
        <v>16.079999999999998</v>
      </c>
      <c r="R12" s="2"/>
      <c r="S12" s="2"/>
      <c r="T12"/>
      <c r="U12">
        <f t="shared" ref="U12:U13" si="0">Q12*0.03</f>
        <v>0.48239999999999994</v>
      </c>
      <c r="V12" s="15"/>
      <c r="W12" s="15"/>
      <c r="Y12">
        <v>1.1000000000000001</v>
      </c>
      <c r="Z12" s="2"/>
      <c r="AA12" s="2"/>
      <c r="AC12">
        <f t="shared" ref="AC12:AC13" si="1">Y12*0.03</f>
        <v>3.3000000000000002E-2</v>
      </c>
      <c r="AD12" s="15"/>
      <c r="AE12" s="15"/>
      <c r="AG12" s="6">
        <f>U12/AC12</f>
        <v>14.618181818181816</v>
      </c>
      <c r="AH12" s="8"/>
      <c r="AI12" s="8"/>
      <c r="AJ12" s="10"/>
    </row>
    <row r="13" spans="1:36" s="3" customFormat="1" ht="16.899999999999999" customHeight="1" x14ac:dyDescent="0.3">
      <c r="A13" s="1"/>
      <c r="B13"/>
      <c r="C13" t="s">
        <v>2</v>
      </c>
      <c r="D13">
        <v>1</v>
      </c>
      <c r="E13" s="9">
        <v>0.65590000000000004</v>
      </c>
      <c r="F13" s="9"/>
      <c r="G13" s="9"/>
      <c r="H13" s="7"/>
      <c r="I13" s="10">
        <v>20.04</v>
      </c>
      <c r="J13" s="10"/>
      <c r="K13" s="10"/>
      <c r="L13" s="7"/>
      <c r="M13" s="10">
        <v>5.58</v>
      </c>
      <c r="N13" s="10"/>
      <c r="O13" s="10"/>
      <c r="P13"/>
      <c r="Q13">
        <v>23.29</v>
      </c>
      <c r="R13" s="2"/>
      <c r="S13" s="2"/>
      <c r="T13"/>
      <c r="U13">
        <f t="shared" si="0"/>
        <v>0.69869999999999999</v>
      </c>
      <c r="V13" s="15"/>
      <c r="W13" s="15"/>
      <c r="Y13">
        <v>1.36</v>
      </c>
      <c r="Z13" s="2"/>
      <c r="AA13" s="2"/>
      <c r="AC13">
        <f t="shared" si="1"/>
        <v>4.0800000000000003E-2</v>
      </c>
      <c r="AD13" s="15"/>
      <c r="AE13" s="15"/>
      <c r="AG13" s="6">
        <f>U13/AC13</f>
        <v>17.125</v>
      </c>
      <c r="AH13" s="8"/>
      <c r="AI13" s="8"/>
      <c r="AJ13" s="10"/>
    </row>
    <row r="14" spans="1:36" s="3" customFormat="1" ht="16.899999999999999" customHeight="1" x14ac:dyDescent="0.3">
      <c r="A14" s="1"/>
      <c r="B14"/>
      <c r="C14"/>
      <c r="D14"/>
      <c r="E14" s="9"/>
      <c r="F14" s="9"/>
      <c r="G14" s="9"/>
      <c r="H14" s="7"/>
      <c r="I14" s="10"/>
      <c r="J14" s="10"/>
      <c r="K14" s="10"/>
      <c r="L14" s="7"/>
      <c r="M14" s="10"/>
      <c r="N14" s="10"/>
      <c r="O14" s="10"/>
      <c r="P14"/>
      <c r="Q14" t="s">
        <v>6</v>
      </c>
      <c r="R14" s="2"/>
      <c r="S14" s="2"/>
      <c r="T14"/>
      <c r="U14"/>
      <c r="V14" s="15"/>
      <c r="W14" s="15"/>
      <c r="Y14" t="s">
        <v>6</v>
      </c>
      <c r="Z14" s="2"/>
      <c r="AA14" s="2"/>
      <c r="AC14"/>
      <c r="AD14" s="15"/>
      <c r="AE14" s="15"/>
      <c r="AG14"/>
      <c r="AH14" s="8"/>
      <c r="AI14" s="8"/>
      <c r="AJ14" s="10"/>
    </row>
    <row r="15" spans="1:36" s="3" customFormat="1" ht="16.899999999999999" customHeight="1" x14ac:dyDescent="0.3">
      <c r="A15" s="1"/>
      <c r="B15">
        <v>0</v>
      </c>
      <c r="C15" t="s">
        <v>0</v>
      </c>
      <c r="D15">
        <v>2</v>
      </c>
      <c r="E15" s="9">
        <v>0.57210000000000005</v>
      </c>
      <c r="F15" s="9">
        <f>AVERAGE(E15:E17)</f>
        <v>0.59833333333333327</v>
      </c>
      <c r="G15" s="9">
        <f>STDEV(E15:E17)</f>
        <v>2.3131436041312525E-2</v>
      </c>
      <c r="H15" s="7"/>
      <c r="I15" s="10">
        <v>11.37</v>
      </c>
      <c r="J15" s="11">
        <f>AVERAGE(I15:I17)</f>
        <v>11.526666666666666</v>
      </c>
      <c r="K15" s="11">
        <f>STDEV(I15:I17)</f>
        <v>0.4366157731156004</v>
      </c>
      <c r="L15" s="7"/>
      <c r="M15" s="10">
        <v>6.1</v>
      </c>
      <c r="N15" s="11">
        <f>AVERAGE(M15:M17)</f>
        <v>5.9866666666666672</v>
      </c>
      <c r="O15" s="11">
        <f>STDEV(M15:M17)</f>
        <v>9.8657657246324679E-2</v>
      </c>
      <c r="P15"/>
      <c r="Q15">
        <v>12.32</v>
      </c>
      <c r="R15" s="16">
        <f>AVERAGE(Q15:Q17)</f>
        <v>13.076666666666668</v>
      </c>
      <c r="S15" s="16">
        <f>STDEV(Q15:Q17)</f>
        <v>0.97725806895278822</v>
      </c>
      <c r="T15"/>
      <c r="U15">
        <f>Q15*0.03</f>
        <v>0.36959999999999998</v>
      </c>
      <c r="V15" s="15">
        <f>AVERAGE(U15:U17)</f>
        <v>0.39230000000000004</v>
      </c>
      <c r="W15" s="15">
        <f>STDEV(U15:U17)</f>
        <v>2.931774206858366E-2</v>
      </c>
      <c r="Y15">
        <v>0.91</v>
      </c>
      <c r="Z15" s="16">
        <f>AVERAGE(Y15:Y17)</f>
        <v>0.90666666666666673</v>
      </c>
      <c r="AA15" s="16">
        <f>STDEV(Y15:Y17)</f>
        <v>1.527525231651948E-2</v>
      </c>
      <c r="AC15">
        <f>Y15*0.03</f>
        <v>2.7300000000000001E-2</v>
      </c>
      <c r="AD15" s="15">
        <f>AVERAGE(AC15:AC17)</f>
        <v>2.7200000000000002E-2</v>
      </c>
      <c r="AE15" s="15">
        <f>STDEV(AC15:AC17)</f>
        <v>4.5825756949558502E-4</v>
      </c>
      <c r="AG15" s="6">
        <f>U15/AC15</f>
        <v>13.538461538461537</v>
      </c>
      <c r="AH15" s="8">
        <f>AVERAGE(AG15:AG17)</f>
        <v>14.418291934413086</v>
      </c>
      <c r="AI15" s="8">
        <f>STDEV(AG15:AG17)</f>
        <v>0.9425600855811781</v>
      </c>
      <c r="AJ15" s="11"/>
    </row>
    <row r="16" spans="1:36" s="3" customFormat="1" ht="16.899999999999999" customHeight="1" x14ac:dyDescent="0.3">
      <c r="A16" s="1"/>
      <c r="B16"/>
      <c r="C16" t="s">
        <v>1</v>
      </c>
      <c r="D16">
        <v>2</v>
      </c>
      <c r="E16" s="9">
        <v>0.61580000000000001</v>
      </c>
      <c r="F16" s="9"/>
      <c r="G16" s="9"/>
      <c r="H16" s="7"/>
      <c r="I16" s="10">
        <v>11.19</v>
      </c>
      <c r="J16" s="10"/>
      <c r="K16" s="10"/>
      <c r="L16" s="7"/>
      <c r="M16" s="10">
        <v>5.92</v>
      </c>
      <c r="N16" s="10"/>
      <c r="O16" s="10"/>
      <c r="P16"/>
      <c r="Q16">
        <v>12.73</v>
      </c>
      <c r="R16" s="2"/>
      <c r="S16" s="2"/>
      <c r="T16"/>
      <c r="U16">
        <f t="shared" ref="U16:U17" si="2">Q16*0.03</f>
        <v>0.38190000000000002</v>
      </c>
      <c r="V16" s="15"/>
      <c r="W16" s="15"/>
      <c r="Y16">
        <v>0.89</v>
      </c>
      <c r="Z16" s="2"/>
      <c r="AA16" s="2"/>
      <c r="AC16">
        <f t="shared" ref="AC16:AC17" si="3">Y16*0.03</f>
        <v>2.6699999999999998E-2</v>
      </c>
      <c r="AD16" s="15"/>
      <c r="AE16" s="15"/>
      <c r="AG16" s="6">
        <f>U16/AC16</f>
        <v>14.303370786516856</v>
      </c>
      <c r="AH16" s="8"/>
      <c r="AI16" s="8"/>
      <c r="AJ16" s="10"/>
    </row>
    <row r="17" spans="1:36" s="3" customFormat="1" ht="16.899999999999999" customHeight="1" x14ac:dyDescent="0.3">
      <c r="A17" s="1"/>
      <c r="B17"/>
      <c r="C17" t="s">
        <v>2</v>
      </c>
      <c r="D17">
        <v>2</v>
      </c>
      <c r="E17" s="9">
        <v>0.60709999999999997</v>
      </c>
      <c r="F17" s="9"/>
      <c r="G17" s="9"/>
      <c r="H17" s="7"/>
      <c r="I17" s="10">
        <v>12.02</v>
      </c>
      <c r="J17" s="10"/>
      <c r="K17" s="10"/>
      <c r="L17" s="7"/>
      <c r="M17" s="10">
        <v>5.94</v>
      </c>
      <c r="N17" s="10"/>
      <c r="O17" s="10"/>
      <c r="P17"/>
      <c r="Q17">
        <v>14.18</v>
      </c>
      <c r="R17" s="2"/>
      <c r="S17" s="2"/>
      <c r="T17"/>
      <c r="U17">
        <f t="shared" si="2"/>
        <v>0.4254</v>
      </c>
      <c r="V17" s="15"/>
      <c r="W17" s="15"/>
      <c r="Y17">
        <v>0.92</v>
      </c>
      <c r="Z17" s="2"/>
      <c r="AA17" s="2"/>
      <c r="AC17">
        <f t="shared" si="3"/>
        <v>2.76E-2</v>
      </c>
      <c r="AD17" s="15"/>
      <c r="AE17" s="15"/>
      <c r="AG17" s="6">
        <f>U17/AC17</f>
        <v>15.413043478260869</v>
      </c>
      <c r="AH17" s="8"/>
      <c r="AI17" s="8"/>
      <c r="AJ17" s="10"/>
    </row>
    <row r="18" spans="1:36" s="3" customFormat="1" ht="16.899999999999999" customHeight="1" x14ac:dyDescent="0.3">
      <c r="A18" s="1"/>
      <c r="B18"/>
      <c r="C18"/>
      <c r="D18"/>
      <c r="E18" s="9"/>
      <c r="F18" s="9"/>
      <c r="G18" s="9"/>
      <c r="H18" s="7"/>
      <c r="I18" s="10"/>
      <c r="J18" s="10"/>
      <c r="K18" s="10"/>
      <c r="L18" s="7"/>
      <c r="M18" s="10"/>
      <c r="N18" s="10"/>
      <c r="O18" s="10"/>
      <c r="P18"/>
      <c r="Q18" t="s">
        <v>6</v>
      </c>
      <c r="R18" s="2"/>
      <c r="S18" s="2"/>
      <c r="T18"/>
      <c r="U18" t="s">
        <v>6</v>
      </c>
      <c r="V18" s="15"/>
      <c r="W18" s="15"/>
      <c r="Y18" t="s">
        <v>6</v>
      </c>
      <c r="Z18" s="2"/>
      <c r="AA18" s="2"/>
      <c r="AC18" t="s">
        <v>6</v>
      </c>
      <c r="AD18" s="15"/>
      <c r="AE18" s="15"/>
      <c r="AG18" s="6" t="s">
        <v>6</v>
      </c>
      <c r="AH18" s="8"/>
      <c r="AI18" s="8"/>
      <c r="AJ18" s="10"/>
    </row>
    <row r="19" spans="1:36" s="3" customFormat="1" ht="16.899999999999999" customHeight="1" x14ac:dyDescent="0.3">
      <c r="A19" s="1"/>
      <c r="B19">
        <v>0</v>
      </c>
      <c r="C19" t="s">
        <v>0</v>
      </c>
      <c r="D19">
        <v>3</v>
      </c>
      <c r="E19" s="9">
        <v>0.47770000000000001</v>
      </c>
      <c r="F19" s="9">
        <f>AVERAGE(E19:E21)</f>
        <v>0.44586666666666669</v>
      </c>
      <c r="G19" s="9">
        <f>STDEV(E19:E21)</f>
        <v>6.3271821005351614E-2</v>
      </c>
      <c r="H19" s="7"/>
      <c r="I19" s="10">
        <v>17.03</v>
      </c>
      <c r="J19" s="11">
        <f>AVERAGE(I19:I21)</f>
        <v>11.950000000000001</v>
      </c>
      <c r="K19" s="11">
        <f>STDEV(I19:I21)</f>
        <v>4.4349069888781232</v>
      </c>
      <c r="L19" s="7"/>
      <c r="M19" s="10">
        <v>6.48</v>
      </c>
      <c r="N19" s="11">
        <f>AVERAGE(M19:M21)</f>
        <v>6.19</v>
      </c>
      <c r="O19" s="11">
        <f>STDEV(M19:M21)</f>
        <v>0.25119713374160968</v>
      </c>
      <c r="P19"/>
      <c r="Q19">
        <v>8.59</v>
      </c>
      <c r="R19" s="16">
        <f>AVERAGE(Q19:Q21)</f>
        <v>9.2000000000000011</v>
      </c>
      <c r="S19" s="16">
        <f>STDEV(Q19:Q21)</f>
        <v>0.56665686266028803</v>
      </c>
      <c r="T19"/>
      <c r="U19">
        <f>Q19*0.03</f>
        <v>0.25769999999999998</v>
      </c>
      <c r="V19" s="15">
        <f>AVERAGE(U19:U21)</f>
        <v>0.27599999999999997</v>
      </c>
      <c r="W19" s="15">
        <f>STDEV(U19:U21)</f>
        <v>1.6999705879808636E-2</v>
      </c>
      <c r="Y19">
        <v>0.66</v>
      </c>
      <c r="Z19" s="16">
        <f>AVERAGE(Y19:Y21)</f>
        <v>0.68</v>
      </c>
      <c r="AA19" s="16">
        <f>STDEV(Y19:Y21)</f>
        <v>5.2915026221291801E-2</v>
      </c>
      <c r="AC19">
        <f>Y19*0.03</f>
        <v>1.9800000000000002E-2</v>
      </c>
      <c r="AD19" s="15">
        <f>AVERAGE(AC19:AC21)</f>
        <v>2.0399999999999998E-2</v>
      </c>
      <c r="AE19" s="15">
        <f>STDEV(AC19:AC21)</f>
        <v>1.5874507866387533E-3</v>
      </c>
      <c r="AG19" s="6">
        <f>U19/AC19</f>
        <v>13.015151515151514</v>
      </c>
      <c r="AH19" s="8">
        <f>AVERAGE(AG19:AG21)</f>
        <v>13.556007712257712</v>
      </c>
      <c r="AI19" s="8">
        <f>STDEV(AG19:AG21)</f>
        <v>0.84626066359222274</v>
      </c>
      <c r="AJ19" s="11"/>
    </row>
    <row r="20" spans="1:36" s="3" customFormat="1" ht="16.899999999999999" customHeight="1" x14ac:dyDescent="0.3">
      <c r="A20" s="1"/>
      <c r="B20"/>
      <c r="C20" t="s">
        <v>1</v>
      </c>
      <c r="D20">
        <v>3</v>
      </c>
      <c r="E20" s="9">
        <v>0.4869</v>
      </c>
      <c r="F20" s="9"/>
      <c r="G20" s="9"/>
      <c r="H20" s="7"/>
      <c r="I20" s="10">
        <v>8.85</v>
      </c>
      <c r="J20" s="10"/>
      <c r="K20" s="10"/>
      <c r="L20" s="7"/>
      <c r="M20" s="10">
        <v>6.05</v>
      </c>
      <c r="N20" s="10"/>
      <c r="O20" s="10"/>
      <c r="P20"/>
      <c r="Q20">
        <v>9.7100000000000009</v>
      </c>
      <c r="R20" s="2"/>
      <c r="S20" s="2"/>
      <c r="T20"/>
      <c r="U20">
        <f t="shared" ref="U20:U21" si="4">Q20*0.03</f>
        <v>0.2913</v>
      </c>
      <c r="V20" s="15"/>
      <c r="W20" s="15"/>
      <c r="Y20">
        <v>0.74</v>
      </c>
      <c r="Z20" s="2"/>
      <c r="AA20" s="2"/>
      <c r="AC20">
        <f t="shared" ref="AC20:AC21" si="5">Y20*0.03</f>
        <v>2.2199999999999998E-2</v>
      </c>
      <c r="AD20" s="15"/>
      <c r="AE20" s="15"/>
      <c r="AG20" s="6">
        <f>U20/AC20</f>
        <v>13.121621621621623</v>
      </c>
      <c r="AH20" s="8"/>
      <c r="AI20" s="8"/>
      <c r="AJ20" s="10"/>
    </row>
    <row r="21" spans="1:36" s="3" customFormat="1" ht="16.899999999999999" customHeight="1" x14ac:dyDescent="0.3">
      <c r="A21" s="1"/>
      <c r="B21"/>
      <c r="C21" t="s">
        <v>2</v>
      </c>
      <c r="D21">
        <v>3</v>
      </c>
      <c r="E21" s="9">
        <v>0.373</v>
      </c>
      <c r="F21" s="9"/>
      <c r="G21" s="9"/>
      <c r="H21" s="7"/>
      <c r="I21" s="10">
        <v>9.9700000000000006</v>
      </c>
      <c r="J21" s="10"/>
      <c r="K21" s="10"/>
      <c r="L21" s="7"/>
      <c r="M21" s="10">
        <v>6.04</v>
      </c>
      <c r="N21" s="10"/>
      <c r="O21" s="10"/>
      <c r="P21"/>
      <c r="Q21">
        <v>9.3000000000000007</v>
      </c>
      <c r="R21" s="2"/>
      <c r="S21" s="2"/>
      <c r="T21"/>
      <c r="U21">
        <f t="shared" si="4"/>
        <v>0.27900000000000003</v>
      </c>
      <c r="V21" s="15"/>
      <c r="W21" s="15"/>
      <c r="Y21">
        <v>0.64</v>
      </c>
      <c r="Z21" s="2"/>
      <c r="AA21" s="2"/>
      <c r="AC21">
        <f t="shared" si="5"/>
        <v>1.9199999999999998E-2</v>
      </c>
      <c r="AD21" s="15"/>
      <c r="AE21" s="15"/>
      <c r="AG21" s="6">
        <f>U21/AC21</f>
        <v>14.531250000000002</v>
      </c>
      <c r="AH21" s="8"/>
      <c r="AI21" s="8"/>
      <c r="AJ21" s="10"/>
    </row>
    <row r="22" spans="1:36" s="3" customFormat="1" ht="16.899999999999999" customHeight="1" x14ac:dyDescent="0.3">
      <c r="A22" s="1"/>
      <c r="B22"/>
      <c r="C22"/>
      <c r="D22"/>
      <c r="E22" s="9"/>
      <c r="F22" s="9"/>
      <c r="G22" s="9"/>
      <c r="H22" s="7"/>
      <c r="I22" s="10"/>
      <c r="J22" s="10"/>
      <c r="K22" s="10"/>
      <c r="L22" s="7"/>
      <c r="M22" s="10"/>
      <c r="N22" s="10"/>
      <c r="O22" s="10"/>
      <c r="P22"/>
      <c r="Q22" t="s">
        <v>6</v>
      </c>
      <c r="R22" s="2"/>
      <c r="S22" s="2"/>
      <c r="T22"/>
      <c r="U22" t="s">
        <v>6</v>
      </c>
      <c r="V22" s="15"/>
      <c r="W22" s="15"/>
      <c r="Y22" t="s">
        <v>6</v>
      </c>
      <c r="Z22" s="2"/>
      <c r="AA22" s="2"/>
      <c r="AC22" t="s">
        <v>6</v>
      </c>
      <c r="AD22" s="15"/>
      <c r="AE22" s="15"/>
      <c r="AG22" s="6" t="s">
        <v>6</v>
      </c>
      <c r="AH22" s="8"/>
      <c r="AI22" s="8"/>
      <c r="AJ22" s="10"/>
    </row>
    <row r="23" spans="1:36" s="3" customFormat="1" ht="16.899999999999999" customHeight="1" x14ac:dyDescent="0.3">
      <c r="A23" s="1"/>
      <c r="B23">
        <v>0</v>
      </c>
      <c r="C23" t="s">
        <v>0</v>
      </c>
      <c r="D23">
        <v>4</v>
      </c>
      <c r="E23" s="9">
        <v>0.38400000000000001</v>
      </c>
      <c r="F23" s="9">
        <f>AVERAGE(E23:E25)</f>
        <v>0.42119999999999996</v>
      </c>
      <c r="G23" s="9">
        <f>STDEV(E23:E25)</f>
        <v>3.410747718609513E-2</v>
      </c>
      <c r="H23" s="7"/>
      <c r="I23" s="10">
        <v>14.9</v>
      </c>
      <c r="J23" s="12">
        <f>AVERAGE(I23:I25)</f>
        <v>10.696666666666667</v>
      </c>
      <c r="K23" s="12">
        <f>STDEV(I23:I25)</f>
        <v>3.6430801985865338</v>
      </c>
      <c r="L23" s="7"/>
      <c r="M23" s="10">
        <v>6.65</v>
      </c>
      <c r="N23" s="12">
        <f>AVERAGE(M23:M25)</f>
        <v>6.3433333333333337</v>
      </c>
      <c r="O23" s="12">
        <f>STDEV(M23:M25)</f>
        <v>0.28746014216467197</v>
      </c>
      <c r="P23"/>
      <c r="Q23">
        <v>7.48</v>
      </c>
      <c r="R23" s="15">
        <f>AVERAGE(Q23:Q25)</f>
        <v>8.2466666666666679</v>
      </c>
      <c r="S23" s="15">
        <f>STDEV(Q23:Q25)</f>
        <v>0.66583281184793897</v>
      </c>
      <c r="T23"/>
      <c r="U23">
        <f>Q23*0.03</f>
        <v>0.22440000000000002</v>
      </c>
      <c r="V23" s="15">
        <f>AVERAGE(U23:U25)</f>
        <v>0.24739999999999998</v>
      </c>
      <c r="W23" s="15">
        <f>STDEV(U23:U25)</f>
        <v>1.9974984355438163E-2</v>
      </c>
      <c r="Y23">
        <v>0.59</v>
      </c>
      <c r="Z23" s="15">
        <f>AVERAGE(Y23:Y25)</f>
        <v>0.59333333333333327</v>
      </c>
      <c r="AA23" s="15">
        <f>STDEV(Y23:Y25)</f>
        <v>1.527525231651948E-2</v>
      </c>
      <c r="AC23">
        <f>Y23*0.03</f>
        <v>1.7699999999999997E-2</v>
      </c>
      <c r="AD23" s="15">
        <f>AVERAGE(AC23:AC25)</f>
        <v>1.78E-2</v>
      </c>
      <c r="AE23" s="15">
        <f>STDEV(AC23:AC25)</f>
        <v>4.5825756949558502E-4</v>
      </c>
      <c r="AG23" s="6">
        <f>U23/AC23</f>
        <v>12.677966101694919</v>
      </c>
      <c r="AH23" s="8">
        <f>AVERAGE(AG23:AG25)</f>
        <v>13.903019037855344</v>
      </c>
      <c r="AI23" s="8">
        <f>STDEV(AG23:AG25)</f>
        <v>1.152406432208152</v>
      </c>
      <c r="AJ23" s="12"/>
    </row>
    <row r="24" spans="1:36" s="3" customFormat="1" ht="16.899999999999999" customHeight="1" x14ac:dyDescent="0.3">
      <c r="A24" s="1"/>
      <c r="B24"/>
      <c r="C24" t="s">
        <v>1</v>
      </c>
      <c r="D24">
        <v>4</v>
      </c>
      <c r="E24" s="9">
        <v>0.45100000000000001</v>
      </c>
      <c r="F24" s="9"/>
      <c r="G24" s="9"/>
      <c r="H24" s="7"/>
      <c r="I24" s="10">
        <v>8.74</v>
      </c>
      <c r="J24" s="12"/>
      <c r="K24" s="12"/>
      <c r="L24" s="7"/>
      <c r="M24" s="10">
        <v>6.3</v>
      </c>
      <c r="N24" s="12"/>
      <c r="O24" s="12"/>
      <c r="P24"/>
      <c r="Q24">
        <v>8.58</v>
      </c>
      <c r="R24" s="15"/>
      <c r="S24" s="15"/>
      <c r="T24"/>
      <c r="U24">
        <f t="shared" ref="U24:U25" si="6">Q24*0.03</f>
        <v>0.25740000000000002</v>
      </c>
      <c r="V24" s="15"/>
      <c r="W24" s="15"/>
      <c r="Y24">
        <v>0.61</v>
      </c>
      <c r="Z24" s="15"/>
      <c r="AA24" s="15"/>
      <c r="AC24">
        <f t="shared" ref="AC24:AC25" si="7">Y24*0.03</f>
        <v>1.83E-2</v>
      </c>
      <c r="AD24" s="15"/>
      <c r="AE24" s="15"/>
      <c r="AG24" s="6">
        <f>U24/AC24</f>
        <v>14.065573770491804</v>
      </c>
      <c r="AH24" s="8"/>
      <c r="AI24" s="8"/>
      <c r="AJ24" s="12"/>
    </row>
    <row r="25" spans="1:36" s="3" customFormat="1" ht="16.899999999999999" customHeight="1" x14ac:dyDescent="0.3">
      <c r="A25" s="1"/>
      <c r="B25"/>
      <c r="C25" t="s">
        <v>2</v>
      </c>
      <c r="D25">
        <v>4</v>
      </c>
      <c r="E25" s="9">
        <v>0.42859999999999998</v>
      </c>
      <c r="F25" s="9"/>
      <c r="G25" s="9"/>
      <c r="H25" s="7"/>
      <c r="I25" s="10">
        <v>8.4499999999999993</v>
      </c>
      <c r="J25" s="12"/>
      <c r="K25" s="12"/>
      <c r="L25" s="7"/>
      <c r="M25" s="10">
        <v>6.08</v>
      </c>
      <c r="N25" s="12"/>
      <c r="O25" s="12"/>
      <c r="P25"/>
      <c r="Q25">
        <v>8.68</v>
      </c>
      <c r="R25" s="15"/>
      <c r="S25" s="15"/>
      <c r="T25"/>
      <c r="U25">
        <f t="shared" si="6"/>
        <v>0.26039999999999996</v>
      </c>
      <c r="V25" s="15"/>
      <c r="W25" s="15"/>
      <c r="Y25">
        <v>0.57999999999999996</v>
      </c>
      <c r="Z25" s="15"/>
      <c r="AA25" s="15"/>
      <c r="AC25">
        <f t="shared" si="7"/>
        <v>1.7399999999999999E-2</v>
      </c>
      <c r="AD25" s="15"/>
      <c r="AE25" s="15"/>
      <c r="AG25" s="6">
        <f>U25/AC25</f>
        <v>14.96551724137931</v>
      </c>
      <c r="AH25" s="8"/>
      <c r="AI25" s="8"/>
      <c r="AJ25" s="12"/>
    </row>
    <row r="26" spans="1:36" s="3" customFormat="1" ht="16.899999999999999" customHeight="1" x14ac:dyDescent="0.3">
      <c r="A26" s="1"/>
      <c r="B26"/>
      <c r="C26"/>
      <c r="D26"/>
      <c r="E26" s="9"/>
      <c r="F26" s="9"/>
      <c r="G26" s="9"/>
      <c r="H26" s="7"/>
      <c r="I26" s="10"/>
      <c r="J26" s="12"/>
      <c r="K26" s="12"/>
      <c r="L26" s="7"/>
      <c r="M26" s="10"/>
      <c r="N26" s="12"/>
      <c r="O26" s="12"/>
      <c r="P26"/>
      <c r="Q26" t="s">
        <v>6</v>
      </c>
      <c r="R26" s="15"/>
      <c r="S26" s="15"/>
      <c r="T26"/>
      <c r="U26" t="s">
        <v>6</v>
      </c>
      <c r="V26" s="15"/>
      <c r="W26" s="15"/>
      <c r="Y26" t="s">
        <v>6</v>
      </c>
      <c r="Z26" s="15"/>
      <c r="AA26" s="15"/>
      <c r="AC26" t="s">
        <v>6</v>
      </c>
      <c r="AD26" s="15"/>
      <c r="AE26" s="15"/>
      <c r="AG26" s="6" t="s">
        <v>6</v>
      </c>
      <c r="AH26" s="8"/>
      <c r="AI26" s="8"/>
      <c r="AJ26" s="12"/>
    </row>
    <row r="27" spans="1:36" s="3" customFormat="1" ht="16.899999999999999" customHeight="1" x14ac:dyDescent="0.3">
      <c r="A27" s="1"/>
      <c r="B27">
        <v>0</v>
      </c>
      <c r="C27" t="s">
        <v>0</v>
      </c>
      <c r="D27">
        <v>5</v>
      </c>
      <c r="E27" s="9">
        <v>0.34189999999999998</v>
      </c>
      <c r="F27" s="9">
        <f>AVERAGE(E27:E29)</f>
        <v>0.36266666666666664</v>
      </c>
      <c r="G27" s="9">
        <f>STDEV(E27:E29)</f>
        <v>1.8042819439692166E-2</v>
      </c>
      <c r="H27" s="7"/>
      <c r="I27" s="10">
        <v>11.87</v>
      </c>
      <c r="J27" s="12">
        <f>AVERAGE(I27:I29)</f>
        <v>14.856666666666667</v>
      </c>
      <c r="K27" s="12">
        <f>STDEV(I27:I29)</f>
        <v>6.14125665750369</v>
      </c>
      <c r="L27" s="7"/>
      <c r="M27" s="10">
        <v>6.31</v>
      </c>
      <c r="N27" s="12">
        <f>AVERAGE(M27:M29)</f>
        <v>6.3033333333333319</v>
      </c>
      <c r="O27" s="12">
        <f>STDEV(M27:M29)</f>
        <v>0.20008331597945242</v>
      </c>
      <c r="P27"/>
      <c r="Q27">
        <v>6.65</v>
      </c>
      <c r="R27" s="15">
        <f>AVERAGE(Q27:Q29)</f>
        <v>7.1099999999999994</v>
      </c>
      <c r="S27" s="15">
        <f>STDEV(Q27:Q29)</f>
        <v>0.41904653679513898</v>
      </c>
      <c r="T27"/>
      <c r="U27">
        <f>Q27*0.03</f>
        <v>0.19950000000000001</v>
      </c>
      <c r="V27" s="15">
        <f>AVERAGE(U27:U29)</f>
        <v>0.21330000000000002</v>
      </c>
      <c r="W27" s="15">
        <f>STDEV(U27:U29)</f>
        <v>1.2571396103854169E-2</v>
      </c>
      <c r="Y27">
        <v>0.5</v>
      </c>
      <c r="Z27" s="15">
        <f>AVERAGE(Y27:Y29)</f>
        <v>0.51666666666666672</v>
      </c>
      <c r="AA27" s="15">
        <f>STDEV(Y27:Y29)</f>
        <v>2.0816659994661344E-2</v>
      </c>
      <c r="AC27">
        <f>Y27*0.03</f>
        <v>1.4999999999999999E-2</v>
      </c>
      <c r="AD27" s="15">
        <f>AVERAGE(AC27:AC29)</f>
        <v>1.55E-2</v>
      </c>
      <c r="AE27" s="15">
        <f>STDEV(AC27:AC29)</f>
        <v>6.2449979983983969E-4</v>
      </c>
      <c r="AG27" s="6">
        <f>U27/AC27</f>
        <v>13.3</v>
      </c>
      <c r="AH27" s="8">
        <f>AVERAGE(AG27:AG29)</f>
        <v>13.766303558460422</v>
      </c>
      <c r="AI27" s="8">
        <f>STDEV(AG27:AG29)</f>
        <v>0.76319691518321553</v>
      </c>
      <c r="AJ27" s="12"/>
    </row>
    <row r="28" spans="1:36" s="3" customFormat="1" ht="16.899999999999999" customHeight="1" x14ac:dyDescent="0.3">
      <c r="A28" s="1"/>
      <c r="B28"/>
      <c r="C28" t="s">
        <v>1</v>
      </c>
      <c r="D28">
        <v>5</v>
      </c>
      <c r="E28" s="9">
        <v>0.3745</v>
      </c>
      <c r="F28" s="9"/>
      <c r="G28" s="9"/>
      <c r="H28" s="7"/>
      <c r="I28" s="10">
        <v>21.92</v>
      </c>
      <c r="J28" s="12"/>
      <c r="K28" s="12"/>
      <c r="L28" s="7"/>
      <c r="M28" s="10">
        <v>6.5</v>
      </c>
      <c r="N28" s="12"/>
      <c r="O28" s="12"/>
      <c r="P28"/>
      <c r="Q28">
        <v>7.21</v>
      </c>
      <c r="R28" s="15"/>
      <c r="S28" s="15"/>
      <c r="T28"/>
      <c r="U28">
        <f t="shared" ref="U28:U29" si="8">Q28*0.03</f>
        <v>0.21629999999999999</v>
      </c>
      <c r="V28" s="15"/>
      <c r="W28" s="15"/>
      <c r="Y28">
        <v>0.54</v>
      </c>
      <c r="Z28" s="15"/>
      <c r="AA28" s="15"/>
      <c r="AC28">
        <f t="shared" ref="AC28:AC29" si="9">Y28*0.03</f>
        <v>1.6199999999999999E-2</v>
      </c>
      <c r="AD28" s="15"/>
      <c r="AE28" s="15"/>
      <c r="AG28" s="6">
        <f>U28/AC28</f>
        <v>13.351851851851853</v>
      </c>
      <c r="AH28" s="8"/>
      <c r="AI28" s="8"/>
      <c r="AJ28" s="12"/>
    </row>
    <row r="29" spans="1:36" s="3" customFormat="1" ht="16.899999999999999" customHeight="1" x14ac:dyDescent="0.3">
      <c r="A29" s="1"/>
      <c r="B29"/>
      <c r="C29" t="s">
        <v>2</v>
      </c>
      <c r="D29">
        <v>5</v>
      </c>
      <c r="E29" s="9">
        <v>0.37159999999999999</v>
      </c>
      <c r="F29" s="9"/>
      <c r="G29" s="9"/>
      <c r="H29" s="7"/>
      <c r="I29" s="10">
        <v>10.78</v>
      </c>
      <c r="J29" s="12"/>
      <c r="K29" s="12"/>
      <c r="L29" s="7"/>
      <c r="M29" s="10">
        <v>6.1</v>
      </c>
      <c r="N29" s="12"/>
      <c r="O29" s="12"/>
      <c r="P29"/>
      <c r="Q29">
        <v>7.47</v>
      </c>
      <c r="R29" s="15"/>
      <c r="S29" s="15"/>
      <c r="T29"/>
      <c r="U29">
        <f t="shared" si="8"/>
        <v>0.22409999999999999</v>
      </c>
      <c r="V29" s="15"/>
      <c r="W29" s="15"/>
      <c r="Y29">
        <v>0.51</v>
      </c>
      <c r="Z29" s="15"/>
      <c r="AA29" s="15"/>
      <c r="AC29">
        <f t="shared" si="9"/>
        <v>1.5299999999999999E-2</v>
      </c>
      <c r="AD29" s="15"/>
      <c r="AE29" s="15"/>
      <c r="AG29" s="6">
        <f>U29/AC29</f>
        <v>14.647058823529411</v>
      </c>
      <c r="AH29" s="8"/>
      <c r="AI29" s="8"/>
      <c r="AJ29" s="12"/>
    </row>
    <row r="30" spans="1:36" s="3" customFormat="1" ht="16.899999999999999" customHeight="1" x14ac:dyDescent="0.3">
      <c r="A30" s="1"/>
      <c r="B30"/>
      <c r="C30"/>
      <c r="D30"/>
      <c r="E30" s="9"/>
      <c r="F30" s="9"/>
      <c r="G30" s="9"/>
      <c r="H30" s="7"/>
      <c r="I30" s="10"/>
      <c r="J30" s="12"/>
      <c r="K30" s="12"/>
      <c r="L30" s="7"/>
      <c r="M30" s="10"/>
      <c r="N30" s="12"/>
      <c r="O30" s="12"/>
      <c r="P30"/>
      <c r="Q30" t="s">
        <v>6</v>
      </c>
      <c r="R30" s="15"/>
      <c r="S30" s="15"/>
      <c r="T30"/>
      <c r="U30" t="s">
        <v>6</v>
      </c>
      <c r="V30" s="15"/>
      <c r="W30" s="15"/>
      <c r="Y30" t="s">
        <v>6</v>
      </c>
      <c r="Z30" s="15"/>
      <c r="AA30" s="15"/>
      <c r="AC30" t="s">
        <v>6</v>
      </c>
      <c r="AD30" s="15"/>
      <c r="AE30" s="15"/>
      <c r="AG30" s="6" t="s">
        <v>6</v>
      </c>
      <c r="AH30" s="8"/>
      <c r="AI30" s="8"/>
      <c r="AJ30" s="12"/>
    </row>
    <row r="31" spans="1:36" s="3" customFormat="1" ht="16.899999999999999" customHeight="1" x14ac:dyDescent="0.3">
      <c r="A31" s="1"/>
      <c r="B31">
        <v>0</v>
      </c>
      <c r="C31" t="s">
        <v>0</v>
      </c>
      <c r="D31">
        <v>6</v>
      </c>
      <c r="E31" s="9">
        <v>0.37130000000000002</v>
      </c>
      <c r="F31" s="9">
        <f>AVERAGE(E31:E32)</f>
        <v>0.36775000000000002</v>
      </c>
      <c r="G31" s="9">
        <f>STDEV(E31:E32)</f>
        <v>5.0204581464244839E-3</v>
      </c>
      <c r="H31" s="7"/>
      <c r="I31" s="10">
        <v>6.58</v>
      </c>
      <c r="J31" s="12">
        <f>AVERAGE(I31:I33)</f>
        <v>6.8999999999999995</v>
      </c>
      <c r="K31" s="12">
        <f>STDEV(I31:I33)</f>
        <v>0.79018985060553615</v>
      </c>
      <c r="L31" s="7"/>
      <c r="M31" s="10">
        <v>5.79</v>
      </c>
      <c r="N31" s="12">
        <f>AVERAGE(M31:M33)</f>
        <v>5.7466666666666661</v>
      </c>
      <c r="O31" s="12">
        <f>STDEV(M31:M33)</f>
        <v>4.5092497528228866E-2</v>
      </c>
      <c r="P31"/>
      <c r="Q31">
        <v>7.25</v>
      </c>
      <c r="R31" s="15">
        <f>AVERAGE(Q31:Q33)</f>
        <v>7.003333333333333</v>
      </c>
      <c r="S31" s="15">
        <f>STDEV(Q31:Q33)</f>
        <v>0.22479620400116501</v>
      </c>
      <c r="T31"/>
      <c r="U31">
        <f>Q31*0.03</f>
        <v>0.2175</v>
      </c>
      <c r="V31" s="15">
        <f>AVERAGE(U31:U33)</f>
        <v>0.21009999999999998</v>
      </c>
      <c r="W31" s="15">
        <f>STDEV(U31:U33)</f>
        <v>6.7438861200349543E-3</v>
      </c>
      <c r="Y31">
        <v>0.51</v>
      </c>
      <c r="Z31" s="15">
        <f>AVERAGE(Y31:Y33)</f>
        <v>0.49</v>
      </c>
      <c r="AA31" s="15">
        <f>STDEV(Y31:Y33)</f>
        <v>2.6457513110645897E-2</v>
      </c>
      <c r="AC31">
        <f>Y31*0.03</f>
        <v>1.5299999999999999E-2</v>
      </c>
      <c r="AD31" s="15">
        <f>AVERAGE(AC31:AC33)</f>
        <v>1.47E-2</v>
      </c>
      <c r="AE31" s="15">
        <f>STDEV(AC31:AC33)</f>
        <v>7.9372539331937697E-4</v>
      </c>
      <c r="AG31" s="6">
        <f>U31/AC31</f>
        <v>14.215686274509805</v>
      </c>
      <c r="AH31" s="8">
        <f>AVERAGE(AG31:AG33)</f>
        <v>14.306678033532252</v>
      </c>
      <c r="AI31" s="8">
        <f>STDEV(AG31:AG33)</f>
        <v>0.4589889680532091</v>
      </c>
      <c r="AJ31" s="12"/>
    </row>
    <row r="32" spans="1:36" s="3" customFormat="1" ht="16.899999999999999" customHeight="1" x14ac:dyDescent="0.3">
      <c r="A32" s="1"/>
      <c r="B32"/>
      <c r="C32" t="s">
        <v>1</v>
      </c>
      <c r="D32">
        <v>6</v>
      </c>
      <c r="E32" s="9">
        <v>0.36420000000000002</v>
      </c>
      <c r="F32" s="9"/>
      <c r="G32" s="9"/>
      <c r="H32" s="7"/>
      <c r="I32" s="10">
        <v>7.8</v>
      </c>
      <c r="J32" s="10"/>
      <c r="K32" s="10"/>
      <c r="L32" s="7"/>
      <c r="M32" s="10">
        <v>5.75</v>
      </c>
      <c r="N32" s="10"/>
      <c r="O32" s="10"/>
      <c r="P32"/>
      <c r="Q32">
        <v>6.95</v>
      </c>
      <c r="R32"/>
      <c r="S32"/>
      <c r="T32"/>
      <c r="U32">
        <f t="shared" ref="U32:U33" si="10">Q32*0.03</f>
        <v>0.20849999999999999</v>
      </c>
      <c r="V32" s="14"/>
      <c r="W32" s="14"/>
      <c r="Y32">
        <v>0.5</v>
      </c>
      <c r="Z32"/>
      <c r="AA32"/>
      <c r="AC32">
        <f t="shared" ref="AC32:AC33" si="11">Y32*0.03</f>
        <v>1.4999999999999999E-2</v>
      </c>
      <c r="AD32" s="14"/>
      <c r="AE32" s="14"/>
      <c r="AG32" s="6">
        <f>U32/AC32</f>
        <v>13.9</v>
      </c>
      <c r="AH32" s="6"/>
      <c r="AI32" s="6"/>
      <c r="AJ32" s="10"/>
    </row>
    <row r="33" spans="1:36" s="3" customFormat="1" ht="16.899999999999999" customHeight="1" x14ac:dyDescent="0.3">
      <c r="A33" s="1"/>
      <c r="B33"/>
      <c r="C33" t="s">
        <v>2</v>
      </c>
      <c r="D33">
        <v>6</v>
      </c>
      <c r="E33" s="9">
        <v>0.36159999999999998</v>
      </c>
      <c r="F33" s="9"/>
      <c r="G33" s="9"/>
      <c r="H33" s="7"/>
      <c r="I33" s="10">
        <v>6.32</v>
      </c>
      <c r="J33" s="10"/>
      <c r="K33" s="10"/>
      <c r="L33" s="7"/>
      <c r="M33" s="10">
        <v>5.7</v>
      </c>
      <c r="N33" s="10"/>
      <c r="O33" s="10"/>
      <c r="P33"/>
      <c r="Q33">
        <v>6.81</v>
      </c>
      <c r="R33"/>
      <c r="S33"/>
      <c r="T33"/>
      <c r="U33">
        <f t="shared" si="10"/>
        <v>0.20429999999999998</v>
      </c>
      <c r="V33" s="14"/>
      <c r="W33" s="14"/>
      <c r="Y33">
        <v>0.46</v>
      </c>
      <c r="Z33"/>
      <c r="AA33"/>
      <c r="AC33">
        <f t="shared" si="11"/>
        <v>1.38E-2</v>
      </c>
      <c r="AD33" s="14"/>
      <c r="AE33" s="14"/>
      <c r="AG33" s="6">
        <f>U33/AC33</f>
        <v>14.804347826086955</v>
      </c>
      <c r="AH33" s="6"/>
      <c r="AI33" s="6"/>
      <c r="AJ33" s="10"/>
    </row>
    <row r="34" spans="1:36" x14ac:dyDescent="0.25">
      <c r="E34" s="9"/>
      <c r="F34" s="9"/>
      <c r="G34" s="9"/>
      <c r="M34" s="10" t="s">
        <v>6</v>
      </c>
      <c r="N34" s="10"/>
      <c r="O34" s="10"/>
      <c r="U34" s="17" t="s">
        <v>23</v>
      </c>
      <c r="V34" s="18">
        <f>SUM(V11:V33)</f>
        <v>1.8803000000000001</v>
      </c>
      <c r="Z34" s="14"/>
      <c r="AA34" s="14"/>
      <c r="AC34" s="19" t="s">
        <v>24</v>
      </c>
      <c r="AD34" s="20">
        <f>SUM(AD11:AD33)</f>
        <v>0.1308</v>
      </c>
      <c r="AH34" s="21">
        <f>V34/AD34</f>
        <v>14.375382262996943</v>
      </c>
      <c r="AJ34" s="10"/>
    </row>
    <row r="35" spans="1:36" x14ac:dyDescent="0.25">
      <c r="U35" s="22" t="s">
        <v>25</v>
      </c>
      <c r="V35" s="14">
        <f>(U11+U15+U19+U23+U27+U31)</f>
        <v>1.7112000000000001</v>
      </c>
      <c r="Z35" s="14"/>
      <c r="AA35" s="14"/>
      <c r="AC35" s="22" t="s">
        <v>25</v>
      </c>
      <c r="AD35" s="14">
        <f>(AC11+AC15+AC19+AC23+AC27+AC31)</f>
        <v>0.12689999999999999</v>
      </c>
    </row>
    <row r="36" spans="1:36" x14ac:dyDescent="0.25">
      <c r="E36"/>
      <c r="F36"/>
      <c r="G36"/>
      <c r="H36"/>
      <c r="I36"/>
      <c r="J36"/>
      <c r="U36" s="22" t="s">
        <v>26</v>
      </c>
      <c r="V36" s="14">
        <f>(U12+U16+U20+U24+U28+U32)</f>
        <v>1.8377999999999999</v>
      </c>
      <c r="Z36" s="14"/>
      <c r="AA36" s="14"/>
      <c r="AC36" s="22" t="s">
        <v>26</v>
      </c>
      <c r="AD36" s="14">
        <f>(AC12+AC16+AC20+AC24+AC28+AC32)</f>
        <v>0.13140000000000002</v>
      </c>
    </row>
    <row r="37" spans="1:36" x14ac:dyDescent="0.25">
      <c r="E37"/>
      <c r="F37"/>
      <c r="G37"/>
      <c r="H37"/>
      <c r="I37"/>
      <c r="J37"/>
      <c r="U37" s="22" t="s">
        <v>27</v>
      </c>
      <c r="V37" s="14">
        <f>(U13+U17+U21+U25+U29+U33)</f>
        <v>2.0918999999999999</v>
      </c>
      <c r="Z37" s="14"/>
      <c r="AA37" s="14"/>
      <c r="AC37" s="22" t="s">
        <v>27</v>
      </c>
      <c r="AD37" s="14">
        <f>(AC13+AC17+AC21+AC25+AC29+AC33)</f>
        <v>0.1341</v>
      </c>
    </row>
    <row r="38" spans="1:36" x14ac:dyDescent="0.25">
      <c r="E38"/>
      <c r="F38"/>
      <c r="G38"/>
      <c r="H38"/>
      <c r="I38"/>
      <c r="J38"/>
      <c r="U38" s="23" t="s">
        <v>4</v>
      </c>
      <c r="V38" s="24">
        <f>AVERAGE(V35:V37)</f>
        <v>1.8803000000000001</v>
      </c>
      <c r="Z38" s="14"/>
      <c r="AA38" s="14"/>
      <c r="AC38" s="23" t="s">
        <v>4</v>
      </c>
      <c r="AD38" s="24">
        <f>AVERAGE(AD35:AD37)</f>
        <v>0.1308</v>
      </c>
      <c r="AH38" s="25">
        <f>V38/AD38</f>
        <v>14.375382262996943</v>
      </c>
    </row>
    <row r="39" spans="1:36" x14ac:dyDescent="0.25">
      <c r="E39"/>
      <c r="F39"/>
      <c r="G39"/>
      <c r="H39"/>
      <c r="I39"/>
      <c r="J39"/>
      <c r="U39" s="23" t="s">
        <v>28</v>
      </c>
      <c r="V39" s="24">
        <f>STDEV(V35:V37)</f>
        <v>0.19387575918613437</v>
      </c>
      <c r="Z39" s="14"/>
      <c r="AA39" s="14"/>
      <c r="AC39" s="23" t="s">
        <v>28</v>
      </c>
      <c r="AD39" s="24">
        <f>STDEV(AD35:AD37)</f>
        <v>3.6373066958946504E-3</v>
      </c>
    </row>
    <row r="40" spans="1:36" x14ac:dyDescent="0.25">
      <c r="E40"/>
      <c r="F40"/>
      <c r="G40"/>
      <c r="H40"/>
      <c r="I40"/>
      <c r="J40"/>
      <c r="Z40" s="14"/>
      <c r="AA40" s="14"/>
    </row>
    <row r="41" spans="1:36" x14ac:dyDescent="0.25">
      <c r="E41"/>
      <c r="F41"/>
      <c r="G41"/>
      <c r="H41"/>
      <c r="I41"/>
      <c r="J41"/>
    </row>
    <row r="42" spans="1:36" x14ac:dyDescent="0.25">
      <c r="E42"/>
      <c r="F42"/>
      <c r="G42"/>
      <c r="H42"/>
      <c r="I42"/>
      <c r="J42"/>
    </row>
    <row r="43" spans="1:36" x14ac:dyDescent="0.25">
      <c r="E43"/>
      <c r="F43"/>
      <c r="G43"/>
      <c r="H43"/>
      <c r="I43"/>
      <c r="J43"/>
    </row>
    <row r="44" spans="1:36" x14ac:dyDescent="0.25">
      <c r="E44"/>
      <c r="F44"/>
      <c r="G44"/>
      <c r="H44"/>
      <c r="I44"/>
      <c r="J44"/>
    </row>
    <row r="45" spans="1:36" x14ac:dyDescent="0.25">
      <c r="E45"/>
      <c r="F45"/>
      <c r="G45"/>
      <c r="H45"/>
      <c r="I45"/>
      <c r="J45"/>
    </row>
    <row r="46" spans="1:36" x14ac:dyDescent="0.25">
      <c r="E46"/>
      <c r="F46"/>
      <c r="G46"/>
      <c r="H46"/>
      <c r="I46"/>
      <c r="J46"/>
    </row>
    <row r="47" spans="1:36" x14ac:dyDescent="0.25">
      <c r="E47"/>
      <c r="F47"/>
      <c r="G47"/>
      <c r="H47"/>
      <c r="I47"/>
      <c r="J47"/>
    </row>
    <row r="48" spans="1:36" x14ac:dyDescent="0.25">
      <c r="E48"/>
      <c r="F48"/>
      <c r="G48"/>
      <c r="H48"/>
      <c r="I48"/>
      <c r="J48"/>
    </row>
    <row r="49" spans="5:10" x14ac:dyDescent="0.25">
      <c r="E49"/>
      <c r="F49"/>
      <c r="G49"/>
      <c r="H49"/>
      <c r="I49"/>
      <c r="J49"/>
    </row>
    <row r="50" spans="5:10" x14ac:dyDescent="0.25">
      <c r="E50"/>
      <c r="F50"/>
      <c r="G50"/>
      <c r="H50"/>
      <c r="I50"/>
      <c r="J50"/>
    </row>
    <row r="51" spans="5:10" x14ac:dyDescent="0.25">
      <c r="E51"/>
      <c r="F51"/>
      <c r="G51"/>
      <c r="H51"/>
      <c r="I51"/>
      <c r="J51"/>
    </row>
    <row r="52" spans="5:10" x14ac:dyDescent="0.25">
      <c r="E52"/>
      <c r="F52"/>
      <c r="G52"/>
      <c r="H52"/>
      <c r="I52"/>
      <c r="J52"/>
    </row>
    <row r="53" spans="5:10" x14ac:dyDescent="0.25">
      <c r="E53"/>
      <c r="F53"/>
      <c r="G53"/>
      <c r="H53"/>
      <c r="I53"/>
      <c r="J53"/>
    </row>
    <row r="54" spans="5:10" x14ac:dyDescent="0.25">
      <c r="E54"/>
      <c r="F54"/>
      <c r="G54"/>
      <c r="H54"/>
      <c r="I54"/>
      <c r="J54"/>
    </row>
    <row r="55" spans="5:10" x14ac:dyDescent="0.25">
      <c r="E55"/>
      <c r="F55"/>
      <c r="G55"/>
      <c r="H55"/>
      <c r="I55"/>
      <c r="J55"/>
    </row>
    <row r="56" spans="5:10" x14ac:dyDescent="0.25">
      <c r="E56"/>
      <c r="F56"/>
      <c r="G56"/>
      <c r="H56"/>
      <c r="I56"/>
      <c r="J56"/>
    </row>
    <row r="57" spans="5:10" x14ac:dyDescent="0.25">
      <c r="E57"/>
      <c r="F57"/>
      <c r="G57"/>
      <c r="H57"/>
      <c r="I57"/>
      <c r="J57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7165-216F-4ECC-9C71-61900B1D0EA9}">
  <sheetPr>
    <pageSetUpPr fitToPage="1"/>
  </sheetPr>
  <dimension ref="B6:AJ96"/>
  <sheetViews>
    <sheetView workbookViewId="0">
      <selection activeCell="A2" sqref="A2"/>
    </sheetView>
  </sheetViews>
  <sheetFormatPr defaultRowHeight="15" x14ac:dyDescent="0.25"/>
  <cols>
    <col min="1" max="1" width="8.85546875"/>
    <col min="2" max="2" width="7.42578125" customWidth="1"/>
    <col min="3" max="4" width="3.42578125" customWidth="1"/>
    <col min="5" max="5" width="10" style="5" customWidth="1"/>
    <col min="6" max="6" width="12.85546875" style="5" customWidth="1"/>
    <col min="7" max="7" width="10" style="5" customWidth="1"/>
    <col min="8" max="8" width="2.5703125" style="7" customWidth="1"/>
    <col min="9" max="9" width="11.7109375" style="7" customWidth="1"/>
    <col min="10" max="11" width="8" style="7" customWidth="1"/>
    <col min="12" max="12" width="2.5703125" style="7" customWidth="1"/>
    <col min="13" max="13" width="10.28515625" style="7" customWidth="1"/>
    <col min="14" max="15" width="8.28515625" style="7" customWidth="1"/>
    <col min="16" max="16" width="2" customWidth="1"/>
    <col min="20" max="20" width="2.28515625" customWidth="1"/>
    <col min="22" max="23" width="9.140625" style="14"/>
    <col min="24" max="24" width="2" customWidth="1"/>
    <col min="28" max="28" width="1.5703125" customWidth="1"/>
    <col min="30" max="31" width="9.140625" style="14"/>
    <col min="32" max="32" width="1.5703125" customWidth="1"/>
    <col min="34" max="35" width="9.140625" style="6"/>
    <col min="36" max="36" width="1.85546875" style="7" customWidth="1"/>
  </cols>
  <sheetData>
    <row r="6" spans="2:36" x14ac:dyDescent="0.25">
      <c r="B6" s="4" t="s">
        <v>14</v>
      </c>
    </row>
    <row r="7" spans="2:36" x14ac:dyDescent="0.25">
      <c r="E7" s="9">
        <v>0</v>
      </c>
      <c r="F7" s="9"/>
      <c r="G7" s="9"/>
      <c r="H7" s="10"/>
      <c r="I7" s="10">
        <v>91.7</v>
      </c>
      <c r="J7" s="10"/>
      <c r="K7" s="10"/>
      <c r="L7" s="10"/>
      <c r="M7" s="10">
        <v>6.766</v>
      </c>
      <c r="N7" s="10"/>
    </row>
    <row r="8" spans="2:36" x14ac:dyDescent="0.25">
      <c r="I8" s="10" t="s">
        <v>7</v>
      </c>
      <c r="J8" s="10"/>
      <c r="K8" s="10"/>
      <c r="M8" s="7" t="s">
        <v>6</v>
      </c>
      <c r="Q8" s="2" t="s">
        <v>15</v>
      </c>
      <c r="R8" s="2"/>
      <c r="S8" s="2"/>
      <c r="U8" s="2" t="s">
        <v>16</v>
      </c>
      <c r="V8" s="15"/>
      <c r="W8" s="15"/>
      <c r="Y8" s="2" t="s">
        <v>17</v>
      </c>
      <c r="Z8" s="2"/>
      <c r="AA8" s="2"/>
      <c r="AC8" s="2" t="s">
        <v>18</v>
      </c>
      <c r="AD8" s="15"/>
      <c r="AE8" s="15"/>
      <c r="AG8" t="s">
        <v>19</v>
      </c>
      <c r="AH8" s="8"/>
      <c r="AI8" s="8"/>
    </row>
    <row r="9" spans="2:36" ht="16.899999999999999" customHeight="1" x14ac:dyDescent="0.3">
      <c r="E9" s="9" t="s">
        <v>3</v>
      </c>
      <c r="F9" s="9" t="s">
        <v>4</v>
      </c>
      <c r="G9" s="9" t="s">
        <v>5</v>
      </c>
      <c r="H9" s="7" t="s">
        <v>6</v>
      </c>
      <c r="I9" s="10" t="s">
        <v>10</v>
      </c>
      <c r="J9" s="10" t="s">
        <v>4</v>
      </c>
      <c r="K9" s="10" t="s">
        <v>5</v>
      </c>
      <c r="L9" s="7" t="s">
        <v>6</v>
      </c>
      <c r="M9" s="13" t="s">
        <v>8</v>
      </c>
      <c r="N9" s="10" t="s">
        <v>4</v>
      </c>
      <c r="O9" s="10" t="s">
        <v>5</v>
      </c>
      <c r="Q9" s="2" t="s">
        <v>20</v>
      </c>
      <c r="R9" s="2" t="s">
        <v>4</v>
      </c>
      <c r="S9" s="2" t="s">
        <v>5</v>
      </c>
      <c r="U9" s="2" t="s">
        <v>21</v>
      </c>
      <c r="V9" s="15" t="s">
        <v>4</v>
      </c>
      <c r="W9" s="15" t="s">
        <v>5</v>
      </c>
      <c r="X9" s="3"/>
      <c r="Y9" s="2" t="s">
        <v>20</v>
      </c>
      <c r="Z9" s="2" t="s">
        <v>4</v>
      </c>
      <c r="AA9" s="2" t="s">
        <v>5</v>
      </c>
      <c r="AB9" s="3"/>
      <c r="AC9" s="2" t="s">
        <v>21</v>
      </c>
      <c r="AD9" s="15" t="s">
        <v>4</v>
      </c>
      <c r="AE9" s="15" t="s">
        <v>5</v>
      </c>
      <c r="AF9" s="3"/>
      <c r="AG9" t="s">
        <v>22</v>
      </c>
      <c r="AH9" s="8" t="s">
        <v>4</v>
      </c>
      <c r="AI9" s="8" t="s">
        <v>5</v>
      </c>
      <c r="AJ9" s="10"/>
    </row>
    <row r="10" spans="2:36" ht="16.899999999999999" customHeight="1" x14ac:dyDescent="0.3">
      <c r="E10" s="9"/>
      <c r="F10" s="9"/>
      <c r="G10" s="9"/>
      <c r="I10" s="10"/>
      <c r="J10" s="10"/>
      <c r="K10" s="10"/>
      <c r="M10" s="10"/>
      <c r="N10" s="10"/>
      <c r="O10" s="10"/>
      <c r="X10" s="3"/>
      <c r="AB10" s="3"/>
      <c r="AF10" s="3"/>
      <c r="AJ10" s="10"/>
    </row>
    <row r="11" spans="2:36" ht="16.899999999999999" customHeight="1" x14ac:dyDescent="0.3">
      <c r="B11">
        <v>0.1</v>
      </c>
      <c r="C11" t="s">
        <v>0</v>
      </c>
      <c r="D11">
        <v>1</v>
      </c>
      <c r="E11" s="9">
        <v>0.40200000000000002</v>
      </c>
      <c r="F11" s="9">
        <f>AVERAGE(E11:E13)</f>
        <v>0.41349999999999998</v>
      </c>
      <c r="G11" s="9">
        <f>STDEV(E11:E13)</f>
        <v>1.0641898326896361E-2</v>
      </c>
      <c r="I11" s="10">
        <v>104.7</v>
      </c>
      <c r="J11" s="11">
        <f>AVERAGE(I11:I13)</f>
        <v>104.30000000000001</v>
      </c>
      <c r="K11" s="11">
        <f>STDEV(I11:I13)</f>
        <v>0.87177978870813888</v>
      </c>
      <c r="M11" s="10">
        <v>5.25</v>
      </c>
      <c r="N11" s="11">
        <f>AVERAGE(M11:M13)</f>
        <v>5.4033333333333333</v>
      </c>
      <c r="O11" s="11">
        <f>STDEV(M11:M13)</f>
        <v>0.15011106998930263</v>
      </c>
      <c r="Q11">
        <v>11.15</v>
      </c>
      <c r="R11" s="16">
        <f>AVERAGE(Q11:Q13)</f>
        <v>10.826666666666666</v>
      </c>
      <c r="S11" s="16">
        <f>STDEV(Q11:Q13)</f>
        <v>0.28536526301099352</v>
      </c>
      <c r="U11">
        <f>Q11*0.03</f>
        <v>0.33450000000000002</v>
      </c>
      <c r="V11" s="15">
        <f>AVERAGE(U11:U13)</f>
        <v>0.32480000000000003</v>
      </c>
      <c r="W11" s="15">
        <f>STDEV(U11:U13)</f>
        <v>8.5609578903298178E-3</v>
      </c>
      <c r="X11" s="3"/>
      <c r="Y11">
        <v>1.1200000000000001</v>
      </c>
      <c r="Z11" s="16">
        <f>AVERAGE(Y11:Y13)</f>
        <v>1.0566666666666666</v>
      </c>
      <c r="AA11" s="16">
        <f>STDEV(Y11:Y13)</f>
        <v>5.6862407030773318E-2</v>
      </c>
      <c r="AB11" s="3"/>
      <c r="AC11">
        <f>Y11*0.03</f>
        <v>3.3600000000000005E-2</v>
      </c>
      <c r="AD11" s="15">
        <f>AVERAGE(AC11:AC13)</f>
        <v>3.1700000000000006E-2</v>
      </c>
      <c r="AE11" s="15">
        <f>STDEV(AC11:AC13)</f>
        <v>1.7058722109232008E-3</v>
      </c>
      <c r="AF11" s="3"/>
      <c r="AG11" s="6">
        <f>U11/AC11</f>
        <v>9.9553571428571423</v>
      </c>
      <c r="AH11" s="8">
        <f>AVERAGE(AG11:AG13)</f>
        <v>10.255999981866317</v>
      </c>
      <c r="AI11" s="8">
        <f>STDEV(AG11:AG13)</f>
        <v>0.27841926227451413</v>
      </c>
      <c r="AJ11" s="11"/>
    </row>
    <row r="12" spans="2:36" ht="16.899999999999999" customHeight="1" x14ac:dyDescent="0.3">
      <c r="C12" t="s">
        <v>1</v>
      </c>
      <c r="D12">
        <v>1</v>
      </c>
      <c r="E12" s="9">
        <v>0.42299999999999999</v>
      </c>
      <c r="F12" s="9"/>
      <c r="G12" s="9"/>
      <c r="I12" s="10">
        <v>104.9</v>
      </c>
      <c r="J12" s="10"/>
      <c r="K12" s="10"/>
      <c r="M12" s="10">
        <v>5.55</v>
      </c>
      <c r="N12" s="10"/>
      <c r="O12" s="10"/>
      <c r="Q12">
        <v>10.61</v>
      </c>
      <c r="R12" s="2"/>
      <c r="S12" s="2"/>
      <c r="U12">
        <f t="shared" ref="U12:U13" si="0">Q12*0.03</f>
        <v>0.31829999999999997</v>
      </c>
      <c r="V12" s="15"/>
      <c r="W12" s="15"/>
      <c r="X12" s="3"/>
      <c r="Y12">
        <v>1.01</v>
      </c>
      <c r="Z12" s="2"/>
      <c r="AA12" s="2"/>
      <c r="AB12" s="3"/>
      <c r="AC12">
        <f t="shared" ref="AC12:AC13" si="1">Y12*0.03</f>
        <v>3.0300000000000001E-2</v>
      </c>
      <c r="AD12" s="15"/>
      <c r="AE12" s="15"/>
      <c r="AF12" s="3"/>
      <c r="AG12" s="6">
        <f>U12/AC12</f>
        <v>10.504950495049505</v>
      </c>
      <c r="AH12" s="8"/>
      <c r="AI12" s="8"/>
      <c r="AJ12" s="10"/>
    </row>
    <row r="13" spans="2:36" ht="16.899999999999999" customHeight="1" x14ac:dyDescent="0.3">
      <c r="C13" t="s">
        <v>2</v>
      </c>
      <c r="D13">
        <v>1</v>
      </c>
      <c r="E13" s="9">
        <v>0.41549999999999998</v>
      </c>
      <c r="F13" s="9"/>
      <c r="G13" s="9"/>
      <c r="I13" s="10">
        <v>103.3</v>
      </c>
      <c r="J13" s="10"/>
      <c r="K13" s="10"/>
      <c r="M13" s="10">
        <v>5.41</v>
      </c>
      <c r="N13" s="10"/>
      <c r="O13" s="10"/>
      <c r="Q13">
        <v>10.72</v>
      </c>
      <c r="R13" s="2"/>
      <c r="S13" s="2"/>
      <c r="U13">
        <f t="shared" si="0"/>
        <v>0.3216</v>
      </c>
      <c r="V13" s="15"/>
      <c r="W13" s="15"/>
      <c r="X13" s="3"/>
      <c r="Y13">
        <v>1.04</v>
      </c>
      <c r="Z13" s="2"/>
      <c r="AA13" s="2"/>
      <c r="AB13" s="3"/>
      <c r="AC13">
        <f t="shared" si="1"/>
        <v>3.1199999999999999E-2</v>
      </c>
      <c r="AD13" s="15"/>
      <c r="AE13" s="15"/>
      <c r="AF13" s="3"/>
      <c r="AG13" s="6">
        <f>U13/AC13</f>
        <v>10.307692307692308</v>
      </c>
      <c r="AH13" s="8"/>
      <c r="AI13" s="8"/>
      <c r="AJ13" s="10"/>
    </row>
    <row r="14" spans="2:36" ht="16.899999999999999" customHeight="1" x14ac:dyDescent="0.3">
      <c r="E14" s="9"/>
      <c r="F14" s="9"/>
      <c r="G14" s="9"/>
      <c r="I14" s="10"/>
      <c r="J14" s="10"/>
      <c r="K14" s="10"/>
      <c r="M14" s="10"/>
      <c r="N14" s="10"/>
      <c r="O14" s="10"/>
      <c r="Q14" t="s">
        <v>6</v>
      </c>
      <c r="R14" s="2"/>
      <c r="S14" s="2"/>
      <c r="V14" s="15"/>
      <c r="W14" s="15"/>
      <c r="X14" s="3"/>
      <c r="Y14" t="s">
        <v>6</v>
      </c>
      <c r="Z14" s="2"/>
      <c r="AA14" s="2"/>
      <c r="AB14" s="3"/>
      <c r="AD14" s="15"/>
      <c r="AE14" s="15"/>
      <c r="AF14" s="3"/>
      <c r="AH14" s="8"/>
      <c r="AI14" s="8"/>
      <c r="AJ14" s="10"/>
    </row>
    <row r="15" spans="2:36" ht="16.899999999999999" customHeight="1" x14ac:dyDescent="0.3">
      <c r="B15">
        <v>0.1</v>
      </c>
      <c r="C15" t="s">
        <v>0</v>
      </c>
      <c r="D15">
        <v>2</v>
      </c>
      <c r="E15" s="9">
        <v>0.70440000000000003</v>
      </c>
      <c r="F15" s="9">
        <f>AVERAGE(E15:E17)</f>
        <v>0.78129999999999999</v>
      </c>
      <c r="G15" s="9">
        <f>STDEV(E15:E17)</f>
        <v>6.6604129001136228E-2</v>
      </c>
      <c r="I15" s="10">
        <v>19.170000000000002</v>
      </c>
      <c r="J15" s="11">
        <f>AVERAGE(I15:I17)</f>
        <v>20.766666666666669</v>
      </c>
      <c r="K15" s="11">
        <f>STDEV(I15:I17)</f>
        <v>2.2579267776731231</v>
      </c>
      <c r="M15" s="10">
        <v>5.97</v>
      </c>
      <c r="N15" s="11">
        <f>AVERAGE(M15:M17)</f>
        <v>5.9233333333333329</v>
      </c>
      <c r="O15" s="11">
        <f>STDEV(M15:M17)</f>
        <v>5.6862407030773041E-2</v>
      </c>
      <c r="Q15">
        <v>16.04</v>
      </c>
      <c r="R15" s="16">
        <f>AVERAGE(Q15:Q17)</f>
        <v>16.510000000000002</v>
      </c>
      <c r="S15" s="16">
        <f>STDEV(Q15:Q17)</f>
        <v>0.53357286287816452</v>
      </c>
      <c r="U15">
        <f>Q15*0.03</f>
        <v>0.48119999999999996</v>
      </c>
      <c r="V15" s="15">
        <f>AVERAGE(U15:U17)</f>
        <v>0.49529999999999991</v>
      </c>
      <c r="W15" s="15">
        <f>STDEV(U15:U17)</f>
        <v>1.6007185886344907E-2</v>
      </c>
      <c r="X15" s="3"/>
      <c r="Y15">
        <v>0.99</v>
      </c>
      <c r="Z15" s="16">
        <f>AVERAGE(Y15:Y17)</f>
        <v>0.99333333333333329</v>
      </c>
      <c r="AA15" s="16">
        <f>STDEV(Y15:Y17)</f>
        <v>2.5166114784235857E-2</v>
      </c>
      <c r="AB15" s="3"/>
      <c r="AC15">
        <f>Y15*0.03</f>
        <v>2.9699999999999997E-2</v>
      </c>
      <c r="AD15" s="15">
        <f>AVERAGE(AC15:AC17)</f>
        <v>2.9799999999999997E-2</v>
      </c>
      <c r="AE15" s="15">
        <f>STDEV(AC15:AC17)</f>
        <v>7.5498344352707572E-4</v>
      </c>
      <c r="AF15" s="3"/>
      <c r="AG15" s="6">
        <f>U15/AC15</f>
        <v>16.202020202020201</v>
      </c>
      <c r="AH15" s="8">
        <f>AVERAGE(AG15:AG17)</f>
        <v>16.621379552549957</v>
      </c>
      <c r="AI15" s="8">
        <f>STDEV(AG15:AG17)</f>
        <v>0.37107496274892166</v>
      </c>
      <c r="AJ15" s="11"/>
    </row>
    <row r="16" spans="2:36" ht="16.899999999999999" customHeight="1" x14ac:dyDescent="0.3">
      <c r="C16" t="s">
        <v>1</v>
      </c>
      <c r="D16">
        <v>2</v>
      </c>
      <c r="E16" s="9">
        <v>0.82069999999999999</v>
      </c>
      <c r="F16" s="9"/>
      <c r="G16" s="9"/>
      <c r="I16" s="10">
        <v>19.78</v>
      </c>
      <c r="J16" s="10"/>
      <c r="K16" s="10"/>
      <c r="M16" s="10">
        <v>5.94</v>
      </c>
      <c r="N16" s="10"/>
      <c r="O16" s="10"/>
      <c r="Q16">
        <v>16.399999999999999</v>
      </c>
      <c r="R16" s="2"/>
      <c r="S16" s="2"/>
      <c r="U16">
        <f t="shared" ref="U16:U17" si="2">Q16*0.03</f>
        <v>0.49199999999999994</v>
      </c>
      <c r="V16" s="15"/>
      <c r="W16" s="15"/>
      <c r="X16" s="3"/>
      <c r="Y16">
        <v>0.97</v>
      </c>
      <c r="Z16" s="2"/>
      <c r="AA16" s="2"/>
      <c r="AB16" s="3"/>
      <c r="AC16">
        <f t="shared" ref="AC16:AC17" si="3">Y16*0.03</f>
        <v>2.9099999999999997E-2</v>
      </c>
      <c r="AD16" s="15"/>
      <c r="AE16" s="15"/>
      <c r="AF16" s="3"/>
      <c r="AG16" s="6">
        <f>U16/AC16</f>
        <v>16.907216494845361</v>
      </c>
      <c r="AH16" s="8"/>
      <c r="AI16" s="8"/>
      <c r="AJ16" s="10"/>
    </row>
    <row r="17" spans="2:36" ht="16.899999999999999" customHeight="1" x14ac:dyDescent="0.3">
      <c r="C17" t="s">
        <v>2</v>
      </c>
      <c r="D17">
        <v>2</v>
      </c>
      <c r="E17" s="9">
        <v>0.81879999999999997</v>
      </c>
      <c r="F17" s="9"/>
      <c r="G17" s="9"/>
      <c r="I17" s="10">
        <v>23.35</v>
      </c>
      <c r="J17" s="10"/>
      <c r="K17" s="10"/>
      <c r="M17" s="10">
        <v>5.86</v>
      </c>
      <c r="N17" s="10"/>
      <c r="O17" s="10"/>
      <c r="Q17">
        <v>17.09</v>
      </c>
      <c r="R17" s="2"/>
      <c r="S17" s="2"/>
      <c r="U17">
        <f t="shared" si="2"/>
        <v>0.51269999999999993</v>
      </c>
      <c r="V17" s="15"/>
      <c r="W17" s="15"/>
      <c r="X17" s="3"/>
      <c r="Y17">
        <v>1.02</v>
      </c>
      <c r="Z17" s="2"/>
      <c r="AA17" s="2"/>
      <c r="AB17" s="3"/>
      <c r="AC17">
        <f t="shared" si="3"/>
        <v>3.0599999999999999E-2</v>
      </c>
      <c r="AD17" s="15"/>
      <c r="AE17" s="15"/>
      <c r="AF17" s="3"/>
      <c r="AG17" s="6">
        <f>U17/AC17</f>
        <v>16.754901960784313</v>
      </c>
      <c r="AH17" s="8"/>
      <c r="AI17" s="8"/>
      <c r="AJ17" s="10"/>
    </row>
    <row r="18" spans="2:36" ht="16.899999999999999" customHeight="1" x14ac:dyDescent="0.3">
      <c r="E18" s="9"/>
      <c r="F18" s="9"/>
      <c r="G18" s="9"/>
      <c r="I18" s="10"/>
      <c r="J18" s="10"/>
      <c r="K18" s="10"/>
      <c r="M18" s="10"/>
      <c r="N18" s="10"/>
      <c r="O18" s="10"/>
      <c r="Q18" t="s">
        <v>6</v>
      </c>
      <c r="R18" s="2"/>
      <c r="S18" s="2"/>
      <c r="U18" t="s">
        <v>6</v>
      </c>
      <c r="V18" s="15"/>
      <c r="W18" s="15"/>
      <c r="X18" s="3"/>
      <c r="Y18" t="s">
        <v>6</v>
      </c>
      <c r="Z18" s="2"/>
      <c r="AA18" s="2"/>
      <c r="AB18" s="3"/>
      <c r="AC18" t="s">
        <v>6</v>
      </c>
      <c r="AD18" s="15"/>
      <c r="AE18" s="15"/>
      <c r="AF18" s="3"/>
      <c r="AG18" s="6" t="s">
        <v>6</v>
      </c>
      <c r="AH18" s="8"/>
      <c r="AI18" s="8"/>
      <c r="AJ18" s="10"/>
    </row>
    <row r="19" spans="2:36" ht="16.899999999999999" customHeight="1" x14ac:dyDescent="0.3">
      <c r="B19">
        <v>0.1</v>
      </c>
      <c r="C19" t="s">
        <v>0</v>
      </c>
      <c r="D19">
        <v>3</v>
      </c>
      <c r="E19" s="9">
        <v>0.60370000000000001</v>
      </c>
      <c r="F19" s="9">
        <f>AVERAGE(E19:E21)</f>
        <v>0.62363333333333337</v>
      </c>
      <c r="G19" s="9">
        <f>STDEV(E19:E21)</f>
        <v>2.9320527507760374E-2</v>
      </c>
      <c r="I19" s="10">
        <v>12.45</v>
      </c>
      <c r="J19" s="11">
        <f>AVERAGE(I19:I21)</f>
        <v>12.28</v>
      </c>
      <c r="K19" s="11">
        <f>STDEV(I19:I21)</f>
        <v>0.19974984355438122</v>
      </c>
      <c r="M19" s="10">
        <v>6.08</v>
      </c>
      <c r="N19" s="11">
        <f>AVERAGE(M19:M21)</f>
        <v>6.0266666666666664</v>
      </c>
      <c r="O19" s="11">
        <f>STDEV(M19:M21)</f>
        <v>6.1101009266077921E-2</v>
      </c>
      <c r="Q19">
        <v>12.57</v>
      </c>
      <c r="R19" s="16">
        <f>AVERAGE(Q19:Q21)</f>
        <v>12.656666666666666</v>
      </c>
      <c r="S19" s="16">
        <f>STDEV(Q19:Q21)</f>
        <v>0.37753587026047392</v>
      </c>
      <c r="U19">
        <f>Q19*0.03</f>
        <v>0.37709999999999999</v>
      </c>
      <c r="V19" s="15">
        <f>AVERAGE(U19:U21)</f>
        <v>0.37969999999999998</v>
      </c>
      <c r="W19" s="15">
        <f>STDEV(U19:U21)</f>
        <v>1.1326076107814215E-2</v>
      </c>
      <c r="X19" s="3"/>
      <c r="Y19">
        <v>0.82</v>
      </c>
      <c r="Z19" s="16">
        <f>AVERAGE(Y19:Y21)</f>
        <v>0.80666666666666664</v>
      </c>
      <c r="AA19" s="16">
        <f>STDEV(Y19:Y21)</f>
        <v>6.1101009266077859E-2</v>
      </c>
      <c r="AB19" s="3"/>
      <c r="AC19">
        <f>Y19*0.03</f>
        <v>2.4599999999999997E-2</v>
      </c>
      <c r="AD19" s="15">
        <f>AVERAGE(AC19:AC21)</f>
        <v>2.4199999999999999E-2</v>
      </c>
      <c r="AE19" s="15">
        <f>STDEV(AC19:AC21)</f>
        <v>1.8330302779823373E-3</v>
      </c>
      <c r="AF19" s="3"/>
      <c r="AG19" s="6">
        <f>U19/AC19</f>
        <v>15.329268292682928</v>
      </c>
      <c r="AH19" s="8">
        <f>AVERAGE(AG19:AG21)</f>
        <v>15.729701624483248</v>
      </c>
      <c r="AI19" s="8">
        <f>STDEV(AG19:AG21)</f>
        <v>0.81021060698442715</v>
      </c>
      <c r="AJ19" s="11"/>
    </row>
    <row r="20" spans="2:36" ht="16.899999999999999" customHeight="1" x14ac:dyDescent="0.3">
      <c r="C20" t="s">
        <v>1</v>
      </c>
      <c r="D20">
        <v>3</v>
      </c>
      <c r="E20" s="9">
        <v>0.6099</v>
      </c>
      <c r="F20" s="9"/>
      <c r="G20" s="9"/>
      <c r="I20" s="10">
        <v>12.06</v>
      </c>
      <c r="J20" s="10"/>
      <c r="K20" s="10"/>
      <c r="M20" s="10">
        <v>5.96</v>
      </c>
      <c r="N20" s="10"/>
      <c r="O20" s="10"/>
      <c r="Q20">
        <v>12.33</v>
      </c>
      <c r="R20" s="2"/>
      <c r="S20" s="2"/>
      <c r="U20">
        <f t="shared" ref="U20:U21" si="4">Q20*0.03</f>
        <v>0.36990000000000001</v>
      </c>
      <c r="V20" s="15"/>
      <c r="W20" s="15"/>
      <c r="X20" s="3"/>
      <c r="Y20">
        <v>0.74</v>
      </c>
      <c r="Z20" s="2"/>
      <c r="AA20" s="2"/>
      <c r="AB20" s="3"/>
      <c r="AC20">
        <f t="shared" ref="AC20:AC21" si="5">Y20*0.03</f>
        <v>2.2199999999999998E-2</v>
      </c>
      <c r="AD20" s="15"/>
      <c r="AE20" s="15"/>
      <c r="AF20" s="3"/>
      <c r="AG20" s="6">
        <f>U20/AC20</f>
        <v>16.662162162162165</v>
      </c>
      <c r="AH20" s="8"/>
      <c r="AI20" s="8"/>
      <c r="AJ20" s="10"/>
    </row>
    <row r="21" spans="2:36" ht="16.899999999999999" customHeight="1" x14ac:dyDescent="0.3">
      <c r="C21" t="s">
        <v>2</v>
      </c>
      <c r="D21">
        <v>3</v>
      </c>
      <c r="E21" s="9">
        <v>0.6573</v>
      </c>
      <c r="F21" s="9"/>
      <c r="G21" s="9"/>
      <c r="I21" s="10">
        <v>12.33</v>
      </c>
      <c r="J21" s="10"/>
      <c r="K21" s="10"/>
      <c r="M21" s="10">
        <v>6.04</v>
      </c>
      <c r="N21" s="10"/>
      <c r="O21" s="10"/>
      <c r="Q21">
        <v>13.07</v>
      </c>
      <c r="R21" s="2"/>
      <c r="S21" s="2"/>
      <c r="U21">
        <f t="shared" si="4"/>
        <v>0.3921</v>
      </c>
      <c r="V21" s="15"/>
      <c r="W21" s="15"/>
      <c r="X21" s="3"/>
      <c r="Y21">
        <v>0.86</v>
      </c>
      <c r="Z21" s="2"/>
      <c r="AA21" s="2"/>
      <c r="AB21" s="3"/>
      <c r="AC21">
        <f t="shared" si="5"/>
        <v>2.58E-2</v>
      </c>
      <c r="AD21" s="15"/>
      <c r="AE21" s="15"/>
      <c r="AF21" s="3"/>
      <c r="AG21" s="6">
        <f>U21/AC21</f>
        <v>15.197674418604651</v>
      </c>
      <c r="AH21" s="8"/>
      <c r="AI21" s="8"/>
      <c r="AJ21" s="10"/>
    </row>
    <row r="22" spans="2:36" ht="16.899999999999999" customHeight="1" x14ac:dyDescent="0.3">
      <c r="E22" s="9"/>
      <c r="F22" s="9"/>
      <c r="G22" s="9"/>
      <c r="I22" s="10"/>
      <c r="J22" s="10"/>
      <c r="K22" s="10"/>
      <c r="M22" s="10"/>
      <c r="N22" s="10"/>
      <c r="O22" s="10"/>
      <c r="Q22" t="s">
        <v>6</v>
      </c>
      <c r="R22" s="2"/>
      <c r="S22" s="2"/>
      <c r="U22" t="s">
        <v>6</v>
      </c>
      <c r="V22" s="15"/>
      <c r="W22" s="15"/>
      <c r="X22" s="3"/>
      <c r="Y22" t="s">
        <v>6</v>
      </c>
      <c r="Z22" s="2"/>
      <c r="AA22" s="2"/>
      <c r="AB22" s="3"/>
      <c r="AC22" t="s">
        <v>6</v>
      </c>
      <c r="AD22" s="15"/>
      <c r="AE22" s="15"/>
      <c r="AF22" s="3"/>
      <c r="AG22" s="6" t="s">
        <v>6</v>
      </c>
      <c r="AH22" s="8"/>
      <c r="AI22" s="8"/>
      <c r="AJ22" s="10"/>
    </row>
    <row r="23" spans="2:36" ht="16.899999999999999" customHeight="1" x14ac:dyDescent="0.3">
      <c r="B23">
        <v>0.1</v>
      </c>
      <c r="C23" t="s">
        <v>0</v>
      </c>
      <c r="D23">
        <v>4</v>
      </c>
      <c r="E23" s="9">
        <v>0.48799999999999999</v>
      </c>
      <c r="F23" s="9">
        <f>AVERAGE(E23:E25)</f>
        <v>0.51383333333333336</v>
      </c>
      <c r="G23" s="9">
        <f>STDEV(E23:E25)</f>
        <v>6.2585328419153777E-2</v>
      </c>
      <c r="I23" s="10">
        <v>10.47</v>
      </c>
      <c r="J23" s="12">
        <f>AVERAGE(I23:I25)</f>
        <v>9.6233333333333348</v>
      </c>
      <c r="K23" s="12">
        <f>STDEV(I23:I25)</f>
        <v>0.83050185630938445</v>
      </c>
      <c r="M23" s="10">
        <v>6.24</v>
      </c>
      <c r="N23" s="12">
        <f>AVERAGE(M23:M25)</f>
        <v>6.1266666666666678</v>
      </c>
      <c r="O23" s="12">
        <f>STDEV(M23:M25)</f>
        <v>0.13316656236958774</v>
      </c>
      <c r="Q23">
        <v>9.11</v>
      </c>
      <c r="R23" s="15">
        <f>AVERAGE(Q23:Q25)</f>
        <v>9.92</v>
      </c>
      <c r="S23" s="15">
        <f>STDEV(Q23:Q25)</f>
        <v>1.2920139318134167</v>
      </c>
      <c r="U23">
        <f>Q23*0.03</f>
        <v>0.27329999999999999</v>
      </c>
      <c r="V23" s="15">
        <f>AVERAGE(U23:U25)</f>
        <v>0.29760000000000003</v>
      </c>
      <c r="W23" s="15">
        <f>STDEV(U23:U25)</f>
        <v>3.8760417954402597E-2</v>
      </c>
      <c r="X23" s="3"/>
      <c r="Y23">
        <v>0.6</v>
      </c>
      <c r="Z23" s="15">
        <f>AVERAGE(Y23:Y25)</f>
        <v>0.69666666666666666</v>
      </c>
      <c r="AA23" s="15">
        <f>STDEV(Y23:Y25)</f>
        <v>0.19399312702601967</v>
      </c>
      <c r="AB23" s="3"/>
      <c r="AC23">
        <f>Y23*0.03</f>
        <v>1.7999999999999999E-2</v>
      </c>
      <c r="AD23" s="15">
        <f>AVERAGE(AC23:AC25)</f>
        <v>2.0899999999999998E-2</v>
      </c>
      <c r="AE23" s="15">
        <f>STDEV(AC23:AC25)</f>
        <v>5.8197938107805913E-3</v>
      </c>
      <c r="AF23" s="3"/>
      <c r="AG23" s="6">
        <f>U23/AC23</f>
        <v>15.183333333333334</v>
      </c>
      <c r="AH23" s="8">
        <f>AVERAGE(AG23:AG25)</f>
        <v>14.598677854055429</v>
      </c>
      <c r="AI23" s="8">
        <f>STDEV(AG23:AG25)</f>
        <v>1.9703435050677414</v>
      </c>
      <c r="AJ23" s="12"/>
    </row>
    <row r="24" spans="2:36" ht="16.899999999999999" customHeight="1" x14ac:dyDescent="0.3">
      <c r="C24" t="s">
        <v>1</v>
      </c>
      <c r="D24">
        <v>4</v>
      </c>
      <c r="E24" s="9">
        <v>0.46829999999999999</v>
      </c>
      <c r="F24" s="9"/>
      <c r="G24" s="9"/>
      <c r="I24" s="10">
        <v>9.59</v>
      </c>
      <c r="J24" s="12"/>
      <c r="K24" s="12"/>
      <c r="M24" s="10">
        <v>6.16</v>
      </c>
      <c r="N24" s="12"/>
      <c r="O24" s="12"/>
      <c r="Q24">
        <v>9.24</v>
      </c>
      <c r="R24" s="15"/>
      <c r="S24" s="15"/>
      <c r="U24">
        <f t="shared" ref="U24:U25" si="6">Q24*0.03</f>
        <v>0.2772</v>
      </c>
      <c r="V24" s="15"/>
      <c r="W24" s="15"/>
      <c r="X24" s="3"/>
      <c r="Y24">
        <v>0.56999999999999995</v>
      </c>
      <c r="Z24" s="15"/>
      <c r="AA24" s="15"/>
      <c r="AB24" s="3"/>
      <c r="AC24">
        <f t="shared" ref="AC24:AC25" si="7">Y24*0.03</f>
        <v>1.7099999999999997E-2</v>
      </c>
      <c r="AD24" s="15"/>
      <c r="AE24" s="15"/>
      <c r="AF24" s="3"/>
      <c r="AG24" s="6">
        <f>U24/AC24</f>
        <v>16.210526315789476</v>
      </c>
      <c r="AH24" s="8"/>
      <c r="AI24" s="8"/>
      <c r="AJ24" s="12"/>
    </row>
    <row r="25" spans="2:36" ht="16.899999999999999" customHeight="1" x14ac:dyDescent="0.3">
      <c r="C25" t="s">
        <v>2</v>
      </c>
      <c r="D25">
        <v>4</v>
      </c>
      <c r="E25" s="9">
        <v>0.58520000000000005</v>
      </c>
      <c r="F25" s="9"/>
      <c r="G25" s="9"/>
      <c r="I25" s="10">
        <v>8.81</v>
      </c>
      <c r="J25" s="12"/>
      <c r="K25" s="12"/>
      <c r="M25" s="10">
        <v>5.98</v>
      </c>
      <c r="N25" s="12"/>
      <c r="O25" s="12"/>
      <c r="Q25">
        <v>11.41</v>
      </c>
      <c r="R25" s="15"/>
      <c r="S25" s="15"/>
      <c r="U25">
        <f t="shared" si="6"/>
        <v>0.34229999999999999</v>
      </c>
      <c r="V25" s="15"/>
      <c r="W25" s="15"/>
      <c r="X25" s="3"/>
      <c r="Y25">
        <v>0.92</v>
      </c>
      <c r="Z25" s="15"/>
      <c r="AA25" s="15"/>
      <c r="AB25" s="3"/>
      <c r="AC25">
        <f t="shared" si="7"/>
        <v>2.76E-2</v>
      </c>
      <c r="AD25" s="15"/>
      <c r="AE25" s="15"/>
      <c r="AF25" s="3"/>
      <c r="AG25" s="6">
        <f>U25/AC25</f>
        <v>12.402173913043478</v>
      </c>
      <c r="AH25" s="8"/>
      <c r="AI25" s="8"/>
      <c r="AJ25" s="12"/>
    </row>
    <row r="26" spans="2:36" ht="16.899999999999999" customHeight="1" x14ac:dyDescent="0.3">
      <c r="E26" s="9"/>
      <c r="F26" s="9"/>
      <c r="G26" s="9"/>
      <c r="I26" s="10"/>
      <c r="J26" s="12"/>
      <c r="K26" s="12"/>
      <c r="M26" s="10"/>
      <c r="N26" s="12"/>
      <c r="O26" s="12"/>
      <c r="Q26" t="s">
        <v>6</v>
      </c>
      <c r="R26" s="15"/>
      <c r="S26" s="15"/>
      <c r="U26" t="s">
        <v>6</v>
      </c>
      <c r="V26" s="15"/>
      <c r="W26" s="15"/>
      <c r="X26" s="3"/>
      <c r="Y26" t="s">
        <v>6</v>
      </c>
      <c r="Z26" s="15"/>
      <c r="AA26" s="15"/>
      <c r="AB26" s="3"/>
      <c r="AC26" t="s">
        <v>6</v>
      </c>
      <c r="AD26" s="15"/>
      <c r="AE26" s="15"/>
      <c r="AF26" s="3"/>
      <c r="AG26" s="6" t="s">
        <v>6</v>
      </c>
      <c r="AH26" s="8"/>
      <c r="AI26" s="8"/>
      <c r="AJ26" s="12"/>
    </row>
    <row r="27" spans="2:36" ht="16.899999999999999" customHeight="1" x14ac:dyDescent="0.3">
      <c r="B27">
        <v>0.1</v>
      </c>
      <c r="C27" t="s">
        <v>0</v>
      </c>
      <c r="D27">
        <v>5</v>
      </c>
      <c r="E27" s="9">
        <v>0.34250000000000003</v>
      </c>
      <c r="F27" s="9">
        <f>AVERAGE(E27:E29)</f>
        <v>0.34143333333333331</v>
      </c>
      <c r="G27" s="9">
        <f>STDEV(E27:E29)</f>
        <v>1.0066445913694364E-3</v>
      </c>
      <c r="I27" s="10">
        <v>8.74</v>
      </c>
      <c r="J27" s="12">
        <f>AVERAGE(I27:I29)</f>
        <v>8.6066666666666674</v>
      </c>
      <c r="K27" s="12">
        <f>STDEV(I27:I29)</f>
        <v>0.15275252316519508</v>
      </c>
      <c r="M27" s="10">
        <v>6.1</v>
      </c>
      <c r="N27" s="12">
        <f>AVERAGE(M27:M29)</f>
        <v>6.12</v>
      </c>
      <c r="O27" s="12">
        <f>STDEV(M27:M29)</f>
        <v>3.4641016151377831E-2</v>
      </c>
      <c r="Q27">
        <v>7.41</v>
      </c>
      <c r="R27" s="15">
        <f>AVERAGE(Q27:Q29)</f>
        <v>7.2033333333333331</v>
      </c>
      <c r="S27" s="15">
        <f>STDEV(Q27:Q29)</f>
        <v>0.22722969289539027</v>
      </c>
      <c r="U27">
        <f>Q27*0.03</f>
        <v>0.2223</v>
      </c>
      <c r="V27" s="15">
        <f>AVERAGE(U27:U29)</f>
        <v>0.21609999999999999</v>
      </c>
      <c r="W27" s="15">
        <f>STDEV(U27:U29)</f>
        <v>6.816890786861712E-3</v>
      </c>
      <c r="X27" s="3"/>
      <c r="Y27">
        <v>0.52</v>
      </c>
      <c r="Z27" s="15">
        <f>AVERAGE(Y27:Y29)</f>
        <v>0.48</v>
      </c>
      <c r="AA27" s="15">
        <f>STDEV(Y27:Y29)</f>
        <v>5.2915026221291829E-2</v>
      </c>
      <c r="AB27" s="3"/>
      <c r="AC27">
        <f>Y27*0.03</f>
        <v>1.5599999999999999E-2</v>
      </c>
      <c r="AD27" s="15">
        <f>AVERAGE(AC27:AC29)</f>
        <v>1.4399999999999998E-2</v>
      </c>
      <c r="AE27" s="15">
        <f>STDEV(AC27:AC29)</f>
        <v>1.5874507866387548E-3</v>
      </c>
      <c r="AF27" s="3"/>
      <c r="AG27" s="6">
        <f>U27/AC27</f>
        <v>14.25</v>
      </c>
      <c r="AH27" s="8">
        <f>AVERAGE(AG27:AG29)</f>
        <v>15.136031746031748</v>
      </c>
      <c r="AI27" s="8">
        <f>STDEV(AG27:AG29)</f>
        <v>1.8279026761563724</v>
      </c>
      <c r="AJ27" s="12"/>
    </row>
    <row r="28" spans="2:36" ht="16.899999999999999" customHeight="1" x14ac:dyDescent="0.3">
      <c r="C28" t="s">
        <v>1</v>
      </c>
      <c r="D28">
        <v>5</v>
      </c>
      <c r="E28" s="9">
        <v>0.34129999999999999</v>
      </c>
      <c r="F28" s="9"/>
      <c r="G28" s="9"/>
      <c r="I28" s="10">
        <v>8.44</v>
      </c>
      <c r="J28" s="12"/>
      <c r="K28" s="12"/>
      <c r="M28" s="10">
        <v>6.1</v>
      </c>
      <c r="N28" s="12"/>
      <c r="O28" s="12"/>
      <c r="Q28">
        <v>7.24</v>
      </c>
      <c r="R28" s="15"/>
      <c r="S28" s="15"/>
      <c r="U28">
        <f t="shared" ref="U28:U29" si="8">Q28*0.03</f>
        <v>0.2172</v>
      </c>
      <c r="V28" s="15"/>
      <c r="W28" s="15"/>
      <c r="X28" s="3"/>
      <c r="Y28">
        <v>0.42</v>
      </c>
      <c r="Z28" s="15"/>
      <c r="AA28" s="15"/>
      <c r="AB28" s="3"/>
      <c r="AC28">
        <f t="shared" ref="AC28:AC29" si="9">Y28*0.03</f>
        <v>1.2599999999999998E-2</v>
      </c>
      <c r="AD28" s="15"/>
      <c r="AE28" s="15"/>
      <c r="AF28" s="3"/>
      <c r="AG28" s="6">
        <f>U28/AC28</f>
        <v>17.238095238095241</v>
      </c>
      <c r="AH28" s="8"/>
      <c r="AI28" s="8"/>
      <c r="AJ28" s="12"/>
    </row>
    <row r="29" spans="2:36" ht="16.899999999999999" customHeight="1" x14ac:dyDescent="0.3">
      <c r="C29" t="s">
        <v>2</v>
      </c>
      <c r="D29">
        <v>5</v>
      </c>
      <c r="E29" s="9">
        <v>0.34050000000000002</v>
      </c>
      <c r="F29" s="9"/>
      <c r="G29" s="9"/>
      <c r="I29" s="10">
        <v>8.64</v>
      </c>
      <c r="J29" s="12"/>
      <c r="K29" s="12"/>
      <c r="M29" s="10">
        <v>6.16</v>
      </c>
      <c r="N29" s="12"/>
      <c r="O29" s="12"/>
      <c r="Q29">
        <v>6.96</v>
      </c>
      <c r="R29" s="15"/>
      <c r="S29" s="15"/>
      <c r="U29">
        <f t="shared" si="8"/>
        <v>0.20879999999999999</v>
      </c>
      <c r="V29" s="15"/>
      <c r="W29" s="15"/>
      <c r="X29" s="3"/>
      <c r="Y29">
        <v>0.5</v>
      </c>
      <c r="Z29" s="15"/>
      <c r="AA29" s="15"/>
      <c r="AB29" s="3"/>
      <c r="AC29">
        <f t="shared" si="9"/>
        <v>1.4999999999999999E-2</v>
      </c>
      <c r="AD29" s="15"/>
      <c r="AE29" s="15"/>
      <c r="AF29" s="3"/>
      <c r="AG29" s="6">
        <f>U29/AC29</f>
        <v>13.92</v>
      </c>
      <c r="AH29" s="8"/>
      <c r="AI29" s="8"/>
      <c r="AJ29" s="12"/>
    </row>
    <row r="30" spans="2:36" ht="16.899999999999999" customHeight="1" x14ac:dyDescent="0.3">
      <c r="E30" s="9"/>
      <c r="F30" s="9"/>
      <c r="G30" s="9"/>
      <c r="I30" s="10"/>
      <c r="J30" s="12"/>
      <c r="K30" s="12"/>
      <c r="M30" s="10"/>
      <c r="N30" s="12"/>
      <c r="O30" s="12"/>
      <c r="Q30" t="s">
        <v>6</v>
      </c>
      <c r="R30" s="15"/>
      <c r="S30" s="15"/>
      <c r="U30" t="s">
        <v>6</v>
      </c>
      <c r="V30" s="15"/>
      <c r="W30" s="15"/>
      <c r="X30" s="3"/>
      <c r="Y30" t="s">
        <v>6</v>
      </c>
      <c r="Z30" s="15"/>
      <c r="AA30" s="15"/>
      <c r="AB30" s="3"/>
      <c r="AC30" t="s">
        <v>6</v>
      </c>
      <c r="AD30" s="15"/>
      <c r="AE30" s="15"/>
      <c r="AF30" s="3"/>
      <c r="AG30" s="6" t="s">
        <v>6</v>
      </c>
      <c r="AH30" s="8"/>
      <c r="AI30" s="8"/>
      <c r="AJ30" s="12"/>
    </row>
    <row r="31" spans="2:36" ht="16.899999999999999" customHeight="1" x14ac:dyDescent="0.3">
      <c r="B31">
        <v>0.1</v>
      </c>
      <c r="C31" t="s">
        <v>0</v>
      </c>
      <c r="D31">
        <v>6</v>
      </c>
      <c r="E31" s="9">
        <v>0.33889999999999998</v>
      </c>
      <c r="F31" s="9">
        <f>AVERAGE(E31:E32)</f>
        <v>0.32969999999999999</v>
      </c>
      <c r="G31" s="9">
        <f>STDEV(E31:E32)</f>
        <v>1.3010764773832454E-2</v>
      </c>
      <c r="I31" s="10">
        <v>7.32</v>
      </c>
      <c r="J31" s="12">
        <f>AVERAGE(I31:I33)</f>
        <v>7.61</v>
      </c>
      <c r="K31" s="12">
        <f>STDEV(I31:I33)</f>
        <v>0.74839828968270683</v>
      </c>
      <c r="M31" s="10">
        <v>5.91</v>
      </c>
      <c r="N31" s="12">
        <f>AVERAGE(M31:M33)</f>
        <v>5.9466666666666663</v>
      </c>
      <c r="O31" s="12">
        <f>STDEV(M31:M33)</f>
        <v>4.0414518843273822E-2</v>
      </c>
      <c r="Q31">
        <v>7.02</v>
      </c>
      <c r="R31" s="15">
        <f>AVERAGE(Q31:Q33)</f>
        <v>6.4433333333333342</v>
      </c>
      <c r="S31" s="15">
        <f>STDEV(Q31:Q33)</f>
        <v>0.54372174256078165</v>
      </c>
      <c r="U31">
        <f>Q31*0.03</f>
        <v>0.21059999999999998</v>
      </c>
      <c r="V31" s="15">
        <f>AVERAGE(U31:U33)</f>
        <v>0.1933</v>
      </c>
      <c r="W31" s="15">
        <f>STDEV(U31:U33)</f>
        <v>1.6311652276823452E-2</v>
      </c>
      <c r="X31" s="3"/>
      <c r="Y31">
        <v>0.48</v>
      </c>
      <c r="Z31" s="15">
        <f>AVERAGE(Y31:Y33)</f>
        <v>0.43666666666666659</v>
      </c>
      <c r="AA31" s="15">
        <f>STDEV(Y31:Y33)</f>
        <v>3.7859388972001827E-2</v>
      </c>
      <c r="AB31" s="3"/>
      <c r="AC31">
        <f>Y31*0.03</f>
        <v>1.44E-2</v>
      </c>
      <c r="AD31" s="15">
        <f>AVERAGE(AC31:AC33)</f>
        <v>1.3099999999999999E-2</v>
      </c>
      <c r="AE31" s="15">
        <f>STDEV(AC31:AC33)</f>
        <v>1.1357816691600555E-3</v>
      </c>
      <c r="AF31" s="3"/>
      <c r="AG31" s="6">
        <f>U31/AC31</f>
        <v>14.625</v>
      </c>
      <c r="AH31" s="8">
        <f>AVERAGE(AG31:AG33)</f>
        <v>14.759823848238483</v>
      </c>
      <c r="AI31" s="8">
        <f>STDEV(AG31:AG33)</f>
        <v>0.35895185547889813</v>
      </c>
      <c r="AJ31" s="12"/>
    </row>
    <row r="32" spans="2:36" ht="16.899999999999999" customHeight="1" x14ac:dyDescent="0.3">
      <c r="C32" t="s">
        <v>1</v>
      </c>
      <c r="D32">
        <v>6</v>
      </c>
      <c r="E32" s="9">
        <v>0.32050000000000001</v>
      </c>
      <c r="F32" s="9"/>
      <c r="G32" s="9"/>
      <c r="I32" s="10">
        <v>8.4600000000000009</v>
      </c>
      <c r="J32" s="10"/>
      <c r="K32" s="10"/>
      <c r="M32" s="10">
        <v>5.99</v>
      </c>
      <c r="N32" s="10"/>
      <c r="O32" s="10"/>
      <c r="Q32">
        <v>6.37</v>
      </c>
      <c r="U32">
        <f t="shared" ref="U32:U33" si="10">Q32*0.03</f>
        <v>0.19109999999999999</v>
      </c>
      <c r="X32" s="3"/>
      <c r="Y32">
        <v>0.42</v>
      </c>
      <c r="AB32" s="3"/>
      <c r="AC32">
        <f t="shared" ref="AC32:AC33" si="11">Y32*0.03</f>
        <v>1.2599999999999998E-2</v>
      </c>
      <c r="AF32" s="3"/>
      <c r="AG32" s="6">
        <f>U32/AC32</f>
        <v>15.166666666666668</v>
      </c>
      <c r="AJ32" s="10"/>
    </row>
    <row r="33" spans="3:36" ht="16.899999999999999" customHeight="1" x14ac:dyDescent="0.3">
      <c r="C33" t="s">
        <v>2</v>
      </c>
      <c r="D33">
        <v>6</v>
      </c>
      <c r="E33" s="9">
        <v>0.3024</v>
      </c>
      <c r="F33" s="9"/>
      <c r="G33" s="9"/>
      <c r="I33" s="10">
        <v>7.05</v>
      </c>
      <c r="J33" s="10"/>
      <c r="K33" s="10"/>
      <c r="M33" s="10">
        <v>5.94</v>
      </c>
      <c r="N33" s="10"/>
      <c r="O33" s="10"/>
      <c r="Q33">
        <v>5.94</v>
      </c>
      <c r="U33">
        <f t="shared" si="10"/>
        <v>0.1782</v>
      </c>
      <c r="X33" s="3"/>
      <c r="Y33">
        <v>0.41</v>
      </c>
      <c r="AB33" s="3"/>
      <c r="AC33">
        <f t="shared" si="11"/>
        <v>1.2299999999999998E-2</v>
      </c>
      <c r="AF33" s="3"/>
      <c r="AG33" s="6">
        <f>U33/AC33</f>
        <v>14.487804878048783</v>
      </c>
      <c r="AJ33" s="10"/>
    </row>
    <row r="34" spans="3:36" x14ac:dyDescent="0.25">
      <c r="U34" s="17" t="s">
        <v>23</v>
      </c>
      <c r="V34" s="18">
        <f>SUM(V11:V33)</f>
        <v>1.9068000000000001</v>
      </c>
      <c r="Z34" s="14"/>
      <c r="AA34" s="14"/>
      <c r="AC34" s="19" t="s">
        <v>24</v>
      </c>
      <c r="AD34" s="20">
        <f>SUM(AD11:AD33)</f>
        <v>0.1341</v>
      </c>
      <c r="AH34" s="21">
        <f>V34/AD34</f>
        <v>14.219239373601791</v>
      </c>
      <c r="AJ34" s="10"/>
    </row>
    <row r="35" spans="3:36" x14ac:dyDescent="0.25">
      <c r="U35" s="22" t="s">
        <v>25</v>
      </c>
      <c r="V35" s="14">
        <f>(U11+U15+U19+U23+U27+U31)</f>
        <v>1.8989999999999998</v>
      </c>
      <c r="Z35" s="14"/>
      <c r="AA35" s="14"/>
      <c r="AC35" s="22" t="s">
        <v>25</v>
      </c>
      <c r="AD35" s="14">
        <f>(AC11+AC15+AC19+AC23+AC27+AC31)</f>
        <v>0.13589999999999999</v>
      </c>
    </row>
    <row r="36" spans="3:36" x14ac:dyDescent="0.25">
      <c r="E36"/>
      <c r="F36"/>
      <c r="G36"/>
      <c r="H36"/>
      <c r="I36"/>
      <c r="U36" s="22" t="s">
        <v>26</v>
      </c>
      <c r="V36" s="14">
        <f>(U12+U16+U20+U24+U28+U32)</f>
        <v>1.8656999999999999</v>
      </c>
      <c r="Z36" s="14"/>
      <c r="AA36" s="14"/>
      <c r="AC36" s="22" t="s">
        <v>26</v>
      </c>
      <c r="AD36" s="14">
        <f>(AC12+AC16+AC20+AC24+AC28+AC32)</f>
        <v>0.12389999999999998</v>
      </c>
    </row>
    <row r="37" spans="3:36" x14ac:dyDescent="0.25">
      <c r="E37"/>
      <c r="F37"/>
      <c r="G37"/>
      <c r="H37"/>
      <c r="I37"/>
      <c r="U37" s="22" t="s">
        <v>27</v>
      </c>
      <c r="V37" s="14">
        <f>(U13+U17+U21+U25+U29+U33)</f>
        <v>1.9556999999999998</v>
      </c>
      <c r="Z37" s="14"/>
      <c r="AA37" s="14"/>
      <c r="AC37" s="22" t="s">
        <v>27</v>
      </c>
      <c r="AD37" s="14">
        <f>(AC13+AC17+AC21+AC25+AC29+AC33)</f>
        <v>0.14249999999999999</v>
      </c>
    </row>
    <row r="38" spans="3:36" x14ac:dyDescent="0.25">
      <c r="E38"/>
      <c r="F38"/>
      <c r="G38"/>
      <c r="H38"/>
      <c r="I38"/>
      <c r="U38" s="23" t="s">
        <v>4</v>
      </c>
      <c r="V38" s="24">
        <f>AVERAGE(V35:V37)</f>
        <v>1.9067999999999998</v>
      </c>
      <c r="Z38" s="14"/>
      <c r="AA38" s="14"/>
      <c r="AC38" s="23" t="s">
        <v>4</v>
      </c>
      <c r="AD38" s="24">
        <f>AVERAGE(AD35:AD37)</f>
        <v>0.1341</v>
      </c>
      <c r="AH38" s="25">
        <f>V38/AD38</f>
        <v>14.219239373601789</v>
      </c>
    </row>
    <row r="39" spans="3:36" x14ac:dyDescent="0.25">
      <c r="E39"/>
      <c r="F39"/>
      <c r="G39"/>
      <c r="H39"/>
      <c r="I39"/>
      <c r="U39" s="23" t="s">
        <v>28</v>
      </c>
      <c r="V39" s="24">
        <f>STDEV(V35:V37)</f>
        <v>4.5504175632572377E-2</v>
      </c>
      <c r="Z39" s="14"/>
      <c r="AA39" s="14"/>
      <c r="AC39" s="23" t="s">
        <v>28</v>
      </c>
      <c r="AD39" s="24">
        <f>STDEV(AD35:AD37)</f>
        <v>9.4297401873010295E-3</v>
      </c>
    </row>
    <row r="40" spans="3:36" x14ac:dyDescent="0.25">
      <c r="E40"/>
      <c r="F40"/>
      <c r="G40"/>
      <c r="H40"/>
      <c r="I40"/>
      <c r="Z40" s="14"/>
      <c r="AA40" s="14"/>
    </row>
    <row r="41" spans="3:36" x14ac:dyDescent="0.25">
      <c r="E41"/>
      <c r="F41"/>
      <c r="G41"/>
      <c r="H41"/>
      <c r="I41"/>
    </row>
    <row r="42" spans="3:36" x14ac:dyDescent="0.25">
      <c r="E42"/>
      <c r="F42"/>
      <c r="G42"/>
      <c r="H42"/>
      <c r="I42"/>
    </row>
    <row r="43" spans="3:36" x14ac:dyDescent="0.25">
      <c r="E43"/>
      <c r="F43"/>
      <c r="G43"/>
      <c r="H43"/>
      <c r="I43"/>
    </row>
    <row r="44" spans="3:36" x14ac:dyDescent="0.25">
      <c r="E44"/>
      <c r="F44"/>
      <c r="G44"/>
      <c r="H44"/>
      <c r="I44"/>
    </row>
    <row r="45" spans="3:36" x14ac:dyDescent="0.25">
      <c r="E45"/>
      <c r="F45"/>
      <c r="G45"/>
      <c r="H45"/>
      <c r="I45"/>
    </row>
    <row r="46" spans="3:36" x14ac:dyDescent="0.25">
      <c r="E46"/>
      <c r="F46"/>
      <c r="G46"/>
      <c r="H46"/>
      <c r="I46"/>
    </row>
    <row r="47" spans="3:36" x14ac:dyDescent="0.25">
      <c r="E47"/>
      <c r="F47"/>
      <c r="G47"/>
      <c r="H47"/>
      <c r="I47"/>
    </row>
    <row r="48" spans="3:36" x14ac:dyDescent="0.25">
      <c r="E48"/>
      <c r="F48"/>
      <c r="G48"/>
      <c r="H48"/>
      <c r="I48"/>
    </row>
    <row r="49" spans="5:9" x14ac:dyDescent="0.25">
      <c r="E49"/>
      <c r="F49"/>
      <c r="G49"/>
      <c r="H49"/>
      <c r="I49"/>
    </row>
    <row r="50" spans="5:9" x14ac:dyDescent="0.25">
      <c r="E50"/>
      <c r="F50"/>
      <c r="G50"/>
      <c r="H50"/>
      <c r="I50"/>
    </row>
    <row r="51" spans="5:9" x14ac:dyDescent="0.25">
      <c r="E51"/>
      <c r="F51"/>
      <c r="G51"/>
      <c r="H51"/>
      <c r="I51"/>
    </row>
    <row r="52" spans="5:9" x14ac:dyDescent="0.25">
      <c r="E52"/>
      <c r="F52"/>
      <c r="G52"/>
      <c r="H52"/>
      <c r="I52"/>
    </row>
    <row r="53" spans="5:9" x14ac:dyDescent="0.25">
      <c r="E53"/>
      <c r="F53"/>
      <c r="G53"/>
      <c r="H53"/>
      <c r="I53"/>
    </row>
    <row r="54" spans="5:9" x14ac:dyDescent="0.25">
      <c r="E54"/>
      <c r="F54"/>
      <c r="G54"/>
      <c r="H54"/>
      <c r="I54"/>
    </row>
    <row r="55" spans="5:9" x14ac:dyDescent="0.25">
      <c r="E55"/>
      <c r="F55"/>
      <c r="G55"/>
      <c r="H55"/>
      <c r="I55"/>
    </row>
    <row r="56" spans="5:9" x14ac:dyDescent="0.25">
      <c r="E56"/>
      <c r="F56"/>
      <c r="G56"/>
      <c r="H56"/>
      <c r="I56"/>
    </row>
    <row r="57" spans="5:9" x14ac:dyDescent="0.25">
      <c r="E57"/>
      <c r="F57"/>
      <c r="G57"/>
      <c r="H57"/>
      <c r="I57"/>
    </row>
    <row r="58" spans="5:9" x14ac:dyDescent="0.25">
      <c r="E58"/>
      <c r="F58"/>
      <c r="G58"/>
      <c r="H58"/>
      <c r="I58"/>
    </row>
    <row r="59" spans="5:9" x14ac:dyDescent="0.25">
      <c r="E59"/>
      <c r="F59"/>
      <c r="G59"/>
      <c r="H59"/>
      <c r="I59"/>
    </row>
    <row r="60" spans="5:9" x14ac:dyDescent="0.25">
      <c r="E60"/>
      <c r="F60"/>
      <c r="G60"/>
      <c r="H60"/>
      <c r="I60"/>
    </row>
    <row r="61" spans="5:9" x14ac:dyDescent="0.25">
      <c r="E61"/>
      <c r="F61"/>
      <c r="G61"/>
      <c r="H61"/>
      <c r="I61"/>
    </row>
    <row r="62" spans="5:9" x14ac:dyDescent="0.25">
      <c r="E62"/>
      <c r="F62"/>
      <c r="G62"/>
      <c r="H62"/>
      <c r="I62"/>
    </row>
    <row r="63" spans="5:9" x14ac:dyDescent="0.25">
      <c r="E63"/>
      <c r="F63"/>
      <c r="G63"/>
      <c r="H63"/>
      <c r="I63"/>
    </row>
    <row r="64" spans="5:9" x14ac:dyDescent="0.25">
      <c r="E64"/>
      <c r="F64"/>
      <c r="G64"/>
      <c r="H64"/>
      <c r="I64"/>
    </row>
    <row r="65" spans="5:9" x14ac:dyDescent="0.25">
      <c r="E65"/>
      <c r="F65"/>
      <c r="G65"/>
      <c r="H65"/>
      <c r="I65"/>
    </row>
    <row r="66" spans="5:9" x14ac:dyDescent="0.25">
      <c r="E66"/>
      <c r="F66"/>
      <c r="G66"/>
      <c r="H66"/>
      <c r="I66"/>
    </row>
    <row r="67" spans="5:9" x14ac:dyDescent="0.25">
      <c r="E67"/>
      <c r="F67"/>
      <c r="G67"/>
      <c r="H67"/>
      <c r="I67"/>
    </row>
    <row r="68" spans="5:9" x14ac:dyDescent="0.25">
      <c r="E68"/>
      <c r="F68"/>
      <c r="G68"/>
      <c r="H68"/>
      <c r="I68"/>
    </row>
    <row r="69" spans="5:9" x14ac:dyDescent="0.25">
      <c r="E69"/>
      <c r="F69"/>
      <c r="G69"/>
      <c r="H69"/>
      <c r="I69"/>
    </row>
    <row r="70" spans="5:9" x14ac:dyDescent="0.25">
      <c r="E70"/>
      <c r="F70"/>
      <c r="G70"/>
      <c r="H70"/>
      <c r="I70"/>
    </row>
    <row r="71" spans="5:9" x14ac:dyDescent="0.25">
      <c r="E71"/>
      <c r="F71"/>
      <c r="G71"/>
      <c r="H71"/>
      <c r="I71"/>
    </row>
    <row r="72" spans="5:9" x14ac:dyDescent="0.25">
      <c r="E72"/>
      <c r="F72"/>
      <c r="G72"/>
      <c r="H72"/>
      <c r="I72"/>
    </row>
    <row r="73" spans="5:9" x14ac:dyDescent="0.25">
      <c r="E73"/>
      <c r="F73"/>
      <c r="G73"/>
      <c r="H73"/>
      <c r="I73"/>
    </row>
    <row r="74" spans="5:9" x14ac:dyDescent="0.25">
      <c r="E74"/>
      <c r="F74"/>
      <c r="G74"/>
      <c r="H74"/>
      <c r="I74"/>
    </row>
    <row r="75" spans="5:9" x14ac:dyDescent="0.25">
      <c r="E75"/>
      <c r="F75"/>
      <c r="G75"/>
      <c r="H75"/>
      <c r="I75"/>
    </row>
    <row r="76" spans="5:9" x14ac:dyDescent="0.25">
      <c r="E76"/>
      <c r="F76"/>
      <c r="G76"/>
      <c r="H76"/>
      <c r="I76"/>
    </row>
    <row r="77" spans="5:9" x14ac:dyDescent="0.25">
      <c r="E77"/>
      <c r="F77"/>
      <c r="G77"/>
      <c r="H77"/>
      <c r="I77"/>
    </row>
    <row r="78" spans="5:9" x14ac:dyDescent="0.25">
      <c r="E78"/>
      <c r="F78"/>
      <c r="G78"/>
      <c r="H78"/>
      <c r="I78"/>
    </row>
    <row r="79" spans="5:9" x14ac:dyDescent="0.25">
      <c r="E79"/>
      <c r="F79"/>
      <c r="G79"/>
      <c r="H79"/>
      <c r="I79"/>
    </row>
    <row r="80" spans="5:9" x14ac:dyDescent="0.25">
      <c r="E80"/>
      <c r="F80"/>
      <c r="G80"/>
      <c r="H80"/>
      <c r="I80"/>
    </row>
    <row r="81" spans="5:9" x14ac:dyDescent="0.25">
      <c r="E81"/>
      <c r="F81"/>
      <c r="G81"/>
      <c r="H81"/>
      <c r="I81"/>
    </row>
    <row r="82" spans="5:9" x14ac:dyDescent="0.25">
      <c r="E82"/>
      <c r="F82"/>
      <c r="G82"/>
      <c r="H82"/>
      <c r="I82"/>
    </row>
    <row r="83" spans="5:9" x14ac:dyDescent="0.25">
      <c r="E83"/>
      <c r="F83"/>
      <c r="G83"/>
      <c r="H83"/>
      <c r="I83"/>
    </row>
    <row r="84" spans="5:9" x14ac:dyDescent="0.25">
      <c r="E84"/>
      <c r="F84"/>
      <c r="G84"/>
      <c r="H84"/>
      <c r="I84"/>
    </row>
    <row r="85" spans="5:9" x14ac:dyDescent="0.25">
      <c r="E85"/>
      <c r="F85"/>
      <c r="G85"/>
      <c r="H85"/>
      <c r="I85"/>
    </row>
    <row r="86" spans="5:9" x14ac:dyDescent="0.25">
      <c r="E86"/>
      <c r="F86"/>
      <c r="G86"/>
      <c r="H86"/>
      <c r="I86"/>
    </row>
    <row r="87" spans="5:9" x14ac:dyDescent="0.25">
      <c r="E87"/>
      <c r="F87"/>
      <c r="G87"/>
      <c r="H87"/>
      <c r="I87"/>
    </row>
    <row r="88" spans="5:9" x14ac:dyDescent="0.25">
      <c r="E88"/>
      <c r="F88"/>
      <c r="G88"/>
      <c r="H88"/>
      <c r="I88"/>
    </row>
    <row r="89" spans="5:9" x14ac:dyDescent="0.25">
      <c r="E89"/>
      <c r="F89"/>
      <c r="G89"/>
      <c r="H89"/>
      <c r="I89"/>
    </row>
    <row r="90" spans="5:9" x14ac:dyDescent="0.25">
      <c r="E90"/>
      <c r="F90"/>
      <c r="G90"/>
      <c r="H90"/>
      <c r="I90"/>
    </row>
    <row r="91" spans="5:9" x14ac:dyDescent="0.25">
      <c r="E91"/>
      <c r="F91"/>
      <c r="G91"/>
      <c r="H91"/>
      <c r="I91"/>
    </row>
    <row r="92" spans="5:9" x14ac:dyDescent="0.25">
      <c r="E92"/>
      <c r="F92"/>
      <c r="G92"/>
      <c r="H92"/>
      <c r="I92"/>
    </row>
    <row r="93" spans="5:9" x14ac:dyDescent="0.25">
      <c r="E93"/>
      <c r="F93"/>
      <c r="G93"/>
      <c r="H93"/>
      <c r="I93"/>
    </row>
    <row r="94" spans="5:9" x14ac:dyDescent="0.25">
      <c r="E94"/>
      <c r="F94"/>
      <c r="G94"/>
      <c r="H94"/>
      <c r="I94"/>
    </row>
    <row r="95" spans="5:9" x14ac:dyDescent="0.25">
      <c r="E95"/>
      <c r="F95"/>
      <c r="G95"/>
      <c r="H95"/>
      <c r="I95"/>
    </row>
    <row r="96" spans="5:9" x14ac:dyDescent="0.25">
      <c r="E96"/>
      <c r="F96"/>
      <c r="G96"/>
      <c r="H96"/>
      <c r="I96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F6B3-C9E8-405E-B12B-58DA4B2E09E5}">
  <sheetPr>
    <pageSetUpPr fitToPage="1"/>
  </sheetPr>
  <dimension ref="B4:AJ56"/>
  <sheetViews>
    <sheetView workbookViewId="0">
      <selection activeCell="A3" sqref="A3"/>
    </sheetView>
  </sheetViews>
  <sheetFormatPr defaultRowHeight="15" x14ac:dyDescent="0.25"/>
  <cols>
    <col min="1" max="1" width="8.85546875"/>
    <col min="2" max="2" width="7.42578125" customWidth="1"/>
    <col min="3" max="4" width="3.42578125" customWidth="1"/>
    <col min="5" max="5" width="9.42578125" style="5" customWidth="1"/>
    <col min="6" max="6" width="13.140625" style="5" customWidth="1"/>
    <col min="7" max="7" width="9.42578125" style="5" customWidth="1"/>
    <col min="8" max="8" width="2.5703125" style="7" customWidth="1"/>
    <col min="9" max="9" width="12.28515625" style="7" customWidth="1"/>
    <col min="10" max="11" width="8.28515625" style="7" customWidth="1"/>
    <col min="12" max="12" width="2.5703125" style="7" customWidth="1"/>
    <col min="13" max="13" width="10.42578125" style="7" customWidth="1"/>
    <col min="14" max="15" width="7.85546875" style="7" customWidth="1"/>
    <col min="16" max="16" width="2" customWidth="1"/>
    <col min="20" max="20" width="2.28515625" customWidth="1"/>
    <col min="22" max="23" width="9.140625" style="14"/>
    <col min="24" max="24" width="2" customWidth="1"/>
    <col min="28" max="28" width="1.5703125" customWidth="1"/>
    <col min="30" max="31" width="9.140625" style="14"/>
    <col min="32" max="32" width="1.5703125" customWidth="1"/>
    <col min="34" max="35" width="9.140625" style="6"/>
    <col min="36" max="36" width="1.85546875" style="7" customWidth="1"/>
  </cols>
  <sheetData>
    <row r="4" spans="2:36" x14ac:dyDescent="0.25">
      <c r="E4" s="5" t="s">
        <v>6</v>
      </c>
    </row>
    <row r="6" spans="2:36" x14ac:dyDescent="0.25">
      <c r="B6" s="4" t="s">
        <v>13</v>
      </c>
    </row>
    <row r="7" spans="2:36" x14ac:dyDescent="0.25">
      <c r="E7" s="9">
        <v>0</v>
      </c>
      <c r="F7" s="9"/>
      <c r="G7" s="9"/>
      <c r="H7" s="10"/>
      <c r="I7" s="10">
        <v>728.2</v>
      </c>
      <c r="J7" s="10"/>
      <c r="K7" s="10"/>
      <c r="L7" s="10"/>
      <c r="M7" s="10">
        <v>5.9240000000000004</v>
      </c>
    </row>
    <row r="8" spans="2:36" x14ac:dyDescent="0.25">
      <c r="I8" s="10" t="s">
        <v>7</v>
      </c>
      <c r="J8" s="10"/>
      <c r="K8" s="10"/>
      <c r="M8" s="7" t="s">
        <v>6</v>
      </c>
      <c r="Q8" s="2" t="s">
        <v>15</v>
      </c>
      <c r="R8" s="2"/>
      <c r="S8" s="2"/>
      <c r="U8" s="2" t="s">
        <v>16</v>
      </c>
      <c r="V8" s="15"/>
      <c r="W8" s="15"/>
      <c r="Y8" s="2" t="s">
        <v>17</v>
      </c>
      <c r="Z8" s="2"/>
      <c r="AA8" s="2"/>
      <c r="AC8" s="2" t="s">
        <v>18</v>
      </c>
      <c r="AD8" s="15"/>
      <c r="AE8" s="15"/>
      <c r="AG8" t="s">
        <v>19</v>
      </c>
      <c r="AH8" s="8"/>
      <c r="AI8" s="8"/>
    </row>
    <row r="9" spans="2:36" ht="16.899999999999999" customHeight="1" x14ac:dyDescent="0.3">
      <c r="E9" s="9" t="s">
        <v>3</v>
      </c>
      <c r="F9" s="9" t="s">
        <v>4</v>
      </c>
      <c r="G9" s="9" t="s">
        <v>5</v>
      </c>
      <c r="H9" s="7" t="s">
        <v>6</v>
      </c>
      <c r="I9" s="10" t="s">
        <v>10</v>
      </c>
      <c r="J9" s="10" t="s">
        <v>4</v>
      </c>
      <c r="K9" s="10" t="s">
        <v>5</v>
      </c>
      <c r="L9" s="7" t="s">
        <v>6</v>
      </c>
      <c r="M9" s="13" t="s">
        <v>8</v>
      </c>
      <c r="N9" s="10" t="s">
        <v>4</v>
      </c>
      <c r="O9" s="10" t="s">
        <v>5</v>
      </c>
      <c r="Q9" s="2" t="s">
        <v>20</v>
      </c>
      <c r="R9" s="2" t="s">
        <v>4</v>
      </c>
      <c r="S9" s="2" t="s">
        <v>5</v>
      </c>
      <c r="U9" s="2" t="s">
        <v>21</v>
      </c>
      <c r="V9" s="15" t="s">
        <v>4</v>
      </c>
      <c r="W9" s="15" t="s">
        <v>5</v>
      </c>
      <c r="X9" s="3"/>
      <c r="Y9" s="2" t="s">
        <v>20</v>
      </c>
      <c r="Z9" s="2" t="s">
        <v>4</v>
      </c>
      <c r="AA9" s="2" t="s">
        <v>5</v>
      </c>
      <c r="AB9" s="3"/>
      <c r="AC9" s="2" t="s">
        <v>21</v>
      </c>
      <c r="AD9" s="15" t="s">
        <v>4</v>
      </c>
      <c r="AE9" s="15" t="s">
        <v>5</v>
      </c>
      <c r="AF9" s="3"/>
      <c r="AG9" t="s">
        <v>22</v>
      </c>
      <c r="AH9" s="8" t="s">
        <v>4</v>
      </c>
      <c r="AI9" s="8" t="s">
        <v>5</v>
      </c>
      <c r="AJ9" s="10"/>
    </row>
    <row r="10" spans="2:36" ht="16.899999999999999" customHeight="1" x14ac:dyDescent="0.3">
      <c r="E10" s="9"/>
      <c r="F10" s="9"/>
      <c r="G10" s="9"/>
      <c r="I10" s="10"/>
      <c r="J10" s="10"/>
      <c r="K10" s="10"/>
      <c r="M10" s="10"/>
      <c r="N10" s="10"/>
      <c r="O10" s="10"/>
      <c r="X10" s="3"/>
      <c r="AB10" s="3"/>
      <c r="AF10" s="3"/>
      <c r="AJ10" s="10"/>
    </row>
    <row r="11" spans="2:36" ht="16.899999999999999" customHeight="1" x14ac:dyDescent="0.3">
      <c r="B11">
        <v>1</v>
      </c>
      <c r="C11" t="s">
        <v>0</v>
      </c>
      <c r="D11">
        <v>1</v>
      </c>
      <c r="E11" s="9">
        <v>5.4399999999999997E-2</v>
      </c>
      <c r="F11" s="9">
        <f>AVERAGE(E11:E13)</f>
        <v>5.3999999999999999E-2</v>
      </c>
      <c r="G11" s="9">
        <f>STDEV(E11:E13)</f>
        <v>3.6055512754639774E-4</v>
      </c>
      <c r="I11" s="10">
        <v>897</v>
      </c>
      <c r="J11" s="11">
        <f>AVERAGE(I11:I13)</f>
        <v>895.4666666666667</v>
      </c>
      <c r="K11" s="11">
        <f>STDEV(I11:I13)</f>
        <v>1.361371857110818</v>
      </c>
      <c r="M11" s="10">
        <v>4.8499999999999996</v>
      </c>
      <c r="N11" s="11">
        <f>AVERAGE(M11:M13)</f>
        <v>4.8999999999999995</v>
      </c>
      <c r="O11" s="11">
        <f>STDEV(M11:M13)</f>
        <v>7.000000000000034E-2</v>
      </c>
      <c r="Q11">
        <v>5.46</v>
      </c>
      <c r="R11" s="16">
        <f>AVERAGE(Q11:Q13)</f>
        <v>5.12</v>
      </c>
      <c r="S11" s="16">
        <f>STDEV(Q11:Q13)</f>
        <v>0.30265491900843117</v>
      </c>
      <c r="U11">
        <f>Q11*0.03</f>
        <v>0.1638</v>
      </c>
      <c r="V11" s="15">
        <f>AVERAGE(U11:U13)</f>
        <v>0.15359999999999999</v>
      </c>
      <c r="W11" s="15">
        <f>STDEV(U11:U13)</f>
        <v>9.0796475702529366E-3</v>
      </c>
      <c r="X11" s="3"/>
      <c r="Y11">
        <v>1.1599999999999999</v>
      </c>
      <c r="Z11" s="16">
        <f>AVERAGE(Y11:Y13)</f>
        <v>1.1966666666666665</v>
      </c>
      <c r="AA11" s="16">
        <f>STDEV(Y11:Y13)</f>
        <v>4.7258156262526128E-2</v>
      </c>
      <c r="AB11" s="3"/>
      <c r="AC11">
        <f>Y11*0.03</f>
        <v>3.4799999999999998E-2</v>
      </c>
      <c r="AD11" s="15">
        <f>AVERAGE(AC11:AC13)</f>
        <v>3.5899999999999994E-2</v>
      </c>
      <c r="AE11" s="15">
        <f>STDEV(AC11:AC13)</f>
        <v>1.4177446878757838E-3</v>
      </c>
      <c r="AF11" s="3"/>
      <c r="AG11" s="6">
        <f>U11/AC11</f>
        <v>4.7068965517241379</v>
      </c>
      <c r="AH11" s="8">
        <f>AVERAGE(AG11:AG13)</f>
        <v>4.2861632573543735</v>
      </c>
      <c r="AI11" s="8">
        <f>STDEV(AG11:AG13)</f>
        <v>0.36923977755814463</v>
      </c>
      <c r="AJ11" s="11"/>
    </row>
    <row r="12" spans="2:36" ht="16.899999999999999" customHeight="1" x14ac:dyDescent="0.3">
      <c r="C12" t="s">
        <v>1</v>
      </c>
      <c r="D12">
        <v>1</v>
      </c>
      <c r="E12" s="9">
        <v>5.3900000000000003E-2</v>
      </c>
      <c r="F12" s="9"/>
      <c r="G12" s="9"/>
      <c r="I12" s="10">
        <v>895</v>
      </c>
      <c r="J12" s="10"/>
      <c r="K12" s="10"/>
      <c r="M12" s="10">
        <v>4.87</v>
      </c>
      <c r="N12" s="10"/>
      <c r="O12" s="10"/>
      <c r="Q12">
        <v>5.0199999999999996</v>
      </c>
      <c r="R12" s="2"/>
      <c r="S12" s="2"/>
      <c r="U12">
        <f t="shared" ref="U12:U13" si="0">Q12*0.03</f>
        <v>0.15059999999999998</v>
      </c>
      <c r="V12" s="15"/>
      <c r="W12" s="15"/>
      <c r="X12" s="3"/>
      <c r="Y12">
        <v>1.25</v>
      </c>
      <c r="Z12" s="2"/>
      <c r="AA12" s="2"/>
      <c r="AB12" s="3"/>
      <c r="AC12">
        <f t="shared" ref="AC12:AC13" si="1">Y12*0.03</f>
        <v>3.7499999999999999E-2</v>
      </c>
      <c r="AD12" s="15"/>
      <c r="AE12" s="15"/>
      <c r="AF12" s="3"/>
      <c r="AG12" s="6">
        <f>U12/AC12</f>
        <v>4.016</v>
      </c>
      <c r="AH12" s="8"/>
      <c r="AI12" s="8"/>
      <c r="AJ12" s="10"/>
    </row>
    <row r="13" spans="2:36" ht="16.899999999999999" customHeight="1" x14ac:dyDescent="0.3">
      <c r="C13" t="s">
        <v>2</v>
      </c>
      <c r="D13">
        <v>1</v>
      </c>
      <c r="E13" s="9">
        <v>5.3699999999999998E-2</v>
      </c>
      <c r="F13" s="9"/>
      <c r="G13" s="9"/>
      <c r="I13" s="10">
        <v>894.4</v>
      </c>
      <c r="J13" s="10"/>
      <c r="K13" s="10"/>
      <c r="M13" s="10">
        <v>4.9800000000000004</v>
      </c>
      <c r="N13" s="10"/>
      <c r="O13" s="10"/>
      <c r="Q13">
        <v>4.88</v>
      </c>
      <c r="R13" s="2"/>
      <c r="S13" s="2"/>
      <c r="U13">
        <f t="shared" si="0"/>
        <v>0.1464</v>
      </c>
      <c r="V13" s="15"/>
      <c r="W13" s="15"/>
      <c r="X13" s="3"/>
      <c r="Y13">
        <v>1.18</v>
      </c>
      <c r="Z13" s="2"/>
      <c r="AA13" s="2"/>
      <c r="AB13" s="3"/>
      <c r="AC13">
        <f t="shared" si="1"/>
        <v>3.5399999999999994E-2</v>
      </c>
      <c r="AD13" s="15"/>
      <c r="AE13" s="15"/>
      <c r="AF13" s="3"/>
      <c r="AG13" s="6">
        <f>U13/AC13</f>
        <v>4.1355932203389836</v>
      </c>
      <c r="AH13" s="8"/>
      <c r="AI13" s="8"/>
      <c r="AJ13" s="10"/>
    </row>
    <row r="14" spans="2:36" ht="16.899999999999999" customHeight="1" x14ac:dyDescent="0.3">
      <c r="E14" s="9"/>
      <c r="F14" s="9"/>
      <c r="G14" s="9"/>
      <c r="I14" s="10"/>
      <c r="J14" s="10"/>
      <c r="K14" s="10"/>
      <c r="M14" s="10"/>
      <c r="N14" s="10"/>
      <c r="O14" s="10"/>
      <c r="Q14" t="s">
        <v>6</v>
      </c>
      <c r="R14" s="2"/>
      <c r="S14" s="2"/>
      <c r="V14" s="15"/>
      <c r="W14" s="15"/>
      <c r="X14" s="3"/>
      <c r="Y14" t="s">
        <v>6</v>
      </c>
      <c r="Z14" s="2"/>
      <c r="AA14" s="2"/>
      <c r="AB14" s="3"/>
      <c r="AD14" s="15"/>
      <c r="AE14" s="15"/>
      <c r="AF14" s="3"/>
      <c r="AH14" s="8"/>
      <c r="AI14" s="8"/>
      <c r="AJ14" s="10"/>
    </row>
    <row r="15" spans="2:36" ht="16.899999999999999" customHeight="1" x14ac:dyDescent="0.3">
      <c r="B15">
        <v>1</v>
      </c>
      <c r="C15" t="s">
        <v>0</v>
      </c>
      <c r="D15">
        <v>2</v>
      </c>
      <c r="E15" s="9">
        <v>0.8377</v>
      </c>
      <c r="F15" s="9">
        <f>AVERAGE(E15:E17)</f>
        <v>0.84949999999999992</v>
      </c>
      <c r="G15" s="9">
        <f>STDEV(E15:E17)</f>
        <v>5.6432969087227725E-2</v>
      </c>
      <c r="I15" s="10">
        <v>73.13</v>
      </c>
      <c r="J15" s="11">
        <f>AVERAGE(I15:I17)</f>
        <v>78.089999999999989</v>
      </c>
      <c r="K15" s="11">
        <f>STDEV(I15:I17)</f>
        <v>5.1057614515368828</v>
      </c>
      <c r="M15" s="10">
        <v>5.88</v>
      </c>
      <c r="N15" s="11">
        <f>AVERAGE(M15:M17)</f>
        <v>5.81</v>
      </c>
      <c r="O15" s="11">
        <f>STDEV(M15:M17)</f>
        <v>6.2449979983984001E-2</v>
      </c>
      <c r="Q15">
        <v>19.489999999999998</v>
      </c>
      <c r="R15" s="16">
        <f>AVERAGE(Q15:Q17)</f>
        <v>19.893333333333331</v>
      </c>
      <c r="S15" s="16">
        <f>STDEV(Q15:Q17)</f>
        <v>1.3992974427666673</v>
      </c>
      <c r="U15">
        <f>Q15*0.03</f>
        <v>0.58469999999999989</v>
      </c>
      <c r="V15" s="15">
        <f>AVERAGE(U15:U17)</f>
        <v>0.59679999999999989</v>
      </c>
      <c r="W15" s="15">
        <f>STDEV(U15:U17)</f>
        <v>4.1978923283000034E-2</v>
      </c>
      <c r="X15" s="3"/>
      <c r="Y15">
        <v>1.04</v>
      </c>
      <c r="Z15" s="16">
        <f>AVERAGE(Y15:Y17)</f>
        <v>1.0933333333333333</v>
      </c>
      <c r="AA15" s="16">
        <f>STDEV(Y15:Y17)</f>
        <v>5.5075705472860954E-2</v>
      </c>
      <c r="AB15" s="3"/>
      <c r="AC15">
        <f>Y15*0.03</f>
        <v>3.1199999999999999E-2</v>
      </c>
      <c r="AD15" s="15">
        <f>AVERAGE(AC15:AC17)</f>
        <v>3.2799999999999996E-2</v>
      </c>
      <c r="AE15" s="15">
        <f>STDEV(AC15:AC17)</f>
        <v>1.6522711641858291E-3</v>
      </c>
      <c r="AF15" s="3"/>
      <c r="AG15" s="6">
        <f>U15/AC15</f>
        <v>18.740384615384613</v>
      </c>
      <c r="AH15" s="8">
        <f>AVERAGE(AG15:AG17)</f>
        <v>18.195073026295603</v>
      </c>
      <c r="AI15" s="8">
        <f>STDEV(AG15:AG17)</f>
        <v>0.86923435320226605</v>
      </c>
      <c r="AJ15" s="11"/>
    </row>
    <row r="16" spans="2:36" ht="16.899999999999999" customHeight="1" x14ac:dyDescent="0.3">
      <c r="C16" t="s">
        <v>1</v>
      </c>
      <c r="D16">
        <v>2</v>
      </c>
      <c r="E16" s="9">
        <v>0.79990000000000006</v>
      </c>
      <c r="F16" s="9"/>
      <c r="G16" s="9"/>
      <c r="I16" s="10">
        <v>83.33</v>
      </c>
      <c r="J16" s="10"/>
      <c r="K16" s="10"/>
      <c r="M16" s="10">
        <v>5.79</v>
      </c>
      <c r="N16" s="10"/>
      <c r="O16" s="10"/>
      <c r="Q16">
        <v>18.739999999999998</v>
      </c>
      <c r="R16" s="2"/>
      <c r="S16" s="2"/>
      <c r="U16">
        <f t="shared" ref="U16:U17" si="2">Q16*0.03</f>
        <v>0.56219999999999992</v>
      </c>
      <c r="V16" s="15"/>
      <c r="W16" s="15"/>
      <c r="X16" s="3"/>
      <c r="Y16">
        <v>1.0900000000000001</v>
      </c>
      <c r="Z16" s="2"/>
      <c r="AA16" s="2"/>
      <c r="AB16" s="3"/>
      <c r="AC16">
        <f t="shared" ref="AC16:AC17" si="3">Y16*0.03</f>
        <v>3.27E-2</v>
      </c>
      <c r="AD16" s="15"/>
      <c r="AE16" s="15"/>
      <c r="AF16" s="3"/>
      <c r="AG16" s="6">
        <f>U16/AC16</f>
        <v>17.192660550458712</v>
      </c>
      <c r="AH16" s="8"/>
      <c r="AI16" s="8"/>
      <c r="AJ16" s="10"/>
    </row>
    <row r="17" spans="2:36" ht="16.899999999999999" customHeight="1" x14ac:dyDescent="0.3">
      <c r="C17" t="s">
        <v>2</v>
      </c>
      <c r="D17">
        <v>2</v>
      </c>
      <c r="E17" s="9">
        <v>0.91090000000000004</v>
      </c>
      <c r="F17" s="9"/>
      <c r="G17" s="9"/>
      <c r="I17" s="10">
        <v>77.81</v>
      </c>
      <c r="J17" s="10"/>
      <c r="K17" s="10"/>
      <c r="M17" s="10">
        <v>5.76</v>
      </c>
      <c r="N17" s="10"/>
      <c r="O17" s="10"/>
      <c r="Q17">
        <v>21.45</v>
      </c>
      <c r="R17" s="2"/>
      <c r="S17" s="2"/>
      <c r="U17">
        <f t="shared" si="2"/>
        <v>0.64349999999999996</v>
      </c>
      <c r="V17" s="15"/>
      <c r="W17" s="15"/>
      <c r="X17" s="3"/>
      <c r="Y17">
        <v>1.1499999999999999</v>
      </c>
      <c r="Z17" s="2"/>
      <c r="AA17" s="2"/>
      <c r="AB17" s="3"/>
      <c r="AC17">
        <f t="shared" si="3"/>
        <v>3.4499999999999996E-2</v>
      </c>
      <c r="AD17" s="15"/>
      <c r="AE17" s="15"/>
      <c r="AF17" s="3"/>
      <c r="AG17" s="6">
        <f>U17/AC17</f>
        <v>18.65217391304348</v>
      </c>
      <c r="AH17" s="8"/>
      <c r="AI17" s="8"/>
      <c r="AJ17" s="10"/>
    </row>
    <row r="18" spans="2:36" ht="16.899999999999999" customHeight="1" x14ac:dyDescent="0.3">
      <c r="E18" s="9"/>
      <c r="F18" s="9"/>
      <c r="G18" s="9"/>
      <c r="I18" s="10"/>
      <c r="J18" s="10"/>
      <c r="K18" s="10"/>
      <c r="M18" s="10"/>
      <c r="N18" s="10"/>
      <c r="O18" s="10"/>
      <c r="Q18" t="s">
        <v>6</v>
      </c>
      <c r="R18" s="2"/>
      <c r="S18" s="2"/>
      <c r="U18" t="s">
        <v>6</v>
      </c>
      <c r="V18" s="15"/>
      <c r="W18" s="15"/>
      <c r="X18" s="3"/>
      <c r="Y18" t="s">
        <v>6</v>
      </c>
      <c r="Z18" s="2"/>
      <c r="AA18" s="2"/>
      <c r="AB18" s="3"/>
      <c r="AC18" t="s">
        <v>6</v>
      </c>
      <c r="AD18" s="15"/>
      <c r="AE18" s="15"/>
      <c r="AF18" s="3"/>
      <c r="AG18" s="6" t="s">
        <v>6</v>
      </c>
      <c r="AH18" s="8"/>
      <c r="AI18" s="8"/>
      <c r="AJ18" s="10"/>
    </row>
    <row r="19" spans="2:36" ht="16.899999999999999" customHeight="1" x14ac:dyDescent="0.3">
      <c r="B19">
        <v>1</v>
      </c>
      <c r="C19" t="s">
        <v>0</v>
      </c>
      <c r="D19">
        <v>3</v>
      </c>
      <c r="E19" s="9">
        <v>0.88949999999999996</v>
      </c>
      <c r="F19" s="9">
        <f>AVERAGE(E19:E21)</f>
        <v>0.88690000000000013</v>
      </c>
      <c r="G19" s="9">
        <f>STDEV(E19:E21)</f>
        <v>3.6715119501371163E-3</v>
      </c>
      <c r="I19" s="10">
        <v>21.66</v>
      </c>
      <c r="J19" s="11">
        <f>AVERAGE(I19:I21)</f>
        <v>21.47</v>
      </c>
      <c r="K19" s="11">
        <f>STDEV(I19:I21)</f>
        <v>0.49325449820554085</v>
      </c>
      <c r="M19" s="10">
        <v>6.25</v>
      </c>
      <c r="N19" s="11">
        <f>AVERAGE(M19:M21)</f>
        <v>6.2033333333333331</v>
      </c>
      <c r="O19" s="11">
        <f>STDEV(M19:M21)</f>
        <v>4.5092497528228866E-2</v>
      </c>
      <c r="Q19">
        <v>18.97</v>
      </c>
      <c r="R19" s="16">
        <f>AVERAGE(Q19:Q21)</f>
        <v>18.976666666666667</v>
      </c>
      <c r="S19" s="16">
        <f>STDEV(Q19:Q21)</f>
        <v>0.13012814197295328</v>
      </c>
      <c r="U19">
        <f>Q19*0.03</f>
        <v>0.56909999999999994</v>
      </c>
      <c r="V19" s="15">
        <f>AVERAGE(U19:U21)</f>
        <v>0.56930000000000003</v>
      </c>
      <c r="W19" s="15">
        <f>STDEV(U19:U21)</f>
        <v>3.9038442591885865E-3</v>
      </c>
      <c r="X19" s="3"/>
      <c r="Y19">
        <v>1.1599999999999999</v>
      </c>
      <c r="Z19" s="16">
        <f>AVERAGE(Y19:Y21)</f>
        <v>1.1433333333333333</v>
      </c>
      <c r="AA19" s="16">
        <f>STDEV(Y19:Y21)</f>
        <v>2.0816659994661223E-2</v>
      </c>
      <c r="AB19" s="3"/>
      <c r="AC19">
        <f>Y19*0.03</f>
        <v>3.4799999999999998E-2</v>
      </c>
      <c r="AD19" s="15">
        <f>AVERAGE(AC19:AC21)</f>
        <v>3.4299999999999997E-2</v>
      </c>
      <c r="AE19" s="15">
        <f>STDEV(AC19:AC21)</f>
        <v>6.2449979983983546E-4</v>
      </c>
      <c r="AF19" s="3"/>
      <c r="AG19" s="6">
        <f>U19/AC19</f>
        <v>16.353448275862068</v>
      </c>
      <c r="AH19" s="8">
        <f>AVERAGE(AG19:AG21)</f>
        <v>16.602417541229386</v>
      </c>
      <c r="AI19" s="8">
        <f>STDEV(AG19:AG21)</f>
        <v>0.39889243186283335</v>
      </c>
      <c r="AJ19" s="11"/>
    </row>
    <row r="20" spans="2:36" ht="16.899999999999999" customHeight="1" x14ac:dyDescent="0.3">
      <c r="C20" t="s">
        <v>1</v>
      </c>
      <c r="D20">
        <v>3</v>
      </c>
      <c r="E20" s="9">
        <v>0.88849999999999996</v>
      </c>
      <c r="F20" s="9"/>
      <c r="G20" s="9"/>
      <c r="I20" s="10">
        <v>21.84</v>
      </c>
      <c r="J20" s="10"/>
      <c r="K20" s="10"/>
      <c r="M20" s="10">
        <v>6.16</v>
      </c>
      <c r="N20" s="10"/>
      <c r="O20" s="10"/>
      <c r="Q20">
        <v>19.11</v>
      </c>
      <c r="R20" s="2"/>
      <c r="S20" s="2"/>
      <c r="U20">
        <f t="shared" ref="U20:U21" si="4">Q20*0.03</f>
        <v>0.57329999999999992</v>
      </c>
      <c r="V20" s="15"/>
      <c r="W20" s="15"/>
      <c r="X20" s="3"/>
      <c r="Y20">
        <v>1.1200000000000001</v>
      </c>
      <c r="Z20" s="2"/>
      <c r="AA20" s="2"/>
      <c r="AB20" s="3"/>
      <c r="AC20">
        <f t="shared" ref="AC20:AC21" si="5">Y20*0.03</f>
        <v>3.3600000000000005E-2</v>
      </c>
      <c r="AD20" s="15"/>
      <c r="AE20" s="15"/>
      <c r="AF20" s="3"/>
      <c r="AG20" s="6">
        <f>U20/AC20</f>
        <v>17.062499999999996</v>
      </c>
      <c r="AH20" s="8"/>
      <c r="AI20" s="8"/>
      <c r="AJ20" s="10"/>
    </row>
    <row r="21" spans="2:36" ht="16.899999999999999" customHeight="1" x14ac:dyDescent="0.3">
      <c r="C21" t="s">
        <v>2</v>
      </c>
      <c r="D21">
        <v>3</v>
      </c>
      <c r="E21" s="9">
        <v>0.88270000000000004</v>
      </c>
      <c r="F21" s="9"/>
      <c r="G21" s="9"/>
      <c r="I21" s="10">
        <v>20.91</v>
      </c>
      <c r="J21" s="10"/>
      <c r="K21" s="10"/>
      <c r="M21" s="10">
        <v>6.2</v>
      </c>
      <c r="N21" s="10"/>
      <c r="O21" s="10"/>
      <c r="Q21">
        <v>18.850000000000001</v>
      </c>
      <c r="R21" s="2"/>
      <c r="S21" s="2"/>
      <c r="U21">
        <f t="shared" si="4"/>
        <v>0.5655</v>
      </c>
      <c r="V21" s="15"/>
      <c r="W21" s="15"/>
      <c r="X21" s="3"/>
      <c r="Y21">
        <v>1.1499999999999999</v>
      </c>
      <c r="Z21" s="2"/>
      <c r="AA21" s="2"/>
      <c r="AB21" s="3"/>
      <c r="AC21">
        <f t="shared" si="5"/>
        <v>3.4499999999999996E-2</v>
      </c>
      <c r="AD21" s="15"/>
      <c r="AE21" s="15"/>
      <c r="AF21" s="3"/>
      <c r="AG21" s="6">
        <f>U21/AC21</f>
        <v>16.39130434782609</v>
      </c>
      <c r="AH21" s="8"/>
      <c r="AI21" s="8"/>
      <c r="AJ21" s="10"/>
    </row>
    <row r="22" spans="2:36" ht="16.899999999999999" customHeight="1" x14ac:dyDescent="0.3">
      <c r="E22" s="9"/>
      <c r="F22" s="9"/>
      <c r="G22" s="9"/>
      <c r="I22" s="10"/>
      <c r="J22" s="10"/>
      <c r="K22" s="10"/>
      <c r="M22" s="10"/>
      <c r="N22" s="10"/>
      <c r="O22" s="10"/>
      <c r="Q22" t="s">
        <v>6</v>
      </c>
      <c r="R22" s="2"/>
      <c r="S22" s="2"/>
      <c r="U22" t="s">
        <v>6</v>
      </c>
      <c r="V22" s="15"/>
      <c r="W22" s="15"/>
      <c r="X22" s="3"/>
      <c r="Y22" t="s">
        <v>6</v>
      </c>
      <c r="Z22" s="2"/>
      <c r="AA22" s="2"/>
      <c r="AB22" s="3"/>
      <c r="AC22" t="s">
        <v>6</v>
      </c>
      <c r="AD22" s="15"/>
      <c r="AE22" s="15"/>
      <c r="AF22" s="3"/>
      <c r="AG22" s="6" t="s">
        <v>6</v>
      </c>
      <c r="AH22" s="8"/>
      <c r="AI22" s="8"/>
      <c r="AJ22" s="10"/>
    </row>
    <row r="23" spans="2:36" ht="16.899999999999999" customHeight="1" x14ac:dyDescent="0.3">
      <c r="B23">
        <v>1</v>
      </c>
      <c r="C23" t="s">
        <v>0</v>
      </c>
      <c r="D23">
        <v>4</v>
      </c>
      <c r="E23" s="9">
        <v>0.69940000000000002</v>
      </c>
      <c r="F23" s="9">
        <f>AVERAGE(E23:E25)</f>
        <v>0.70233333333333337</v>
      </c>
      <c r="G23" s="9">
        <f>STDEV(E23:E25)</f>
        <v>1.0705761688611067E-2</v>
      </c>
      <c r="I23" s="10">
        <v>15.12</v>
      </c>
      <c r="J23" s="12">
        <f>AVERAGE(I23:I25)</f>
        <v>14.790000000000001</v>
      </c>
      <c r="K23" s="12">
        <f>STDEV(I23:I25)</f>
        <v>0.30446674695276632</v>
      </c>
      <c r="M23" s="10">
        <v>6.56</v>
      </c>
      <c r="N23" s="12">
        <f>AVERAGE(M23:M25)</f>
        <v>6.3299999999999992</v>
      </c>
      <c r="O23" s="12">
        <f>STDEV(M23:M25)</f>
        <v>0.20223748416156673</v>
      </c>
      <c r="Q23">
        <v>14.05</v>
      </c>
      <c r="R23" s="15">
        <f>AVERAGE(Q23:Q25)</f>
        <v>14.180000000000001</v>
      </c>
      <c r="S23" s="15">
        <f>STDEV(Q23:Q25)</f>
        <v>0.12529964086141662</v>
      </c>
      <c r="U23">
        <f>Q23*0.03</f>
        <v>0.42149999999999999</v>
      </c>
      <c r="V23" s="15">
        <f>AVERAGE(U23:U25)</f>
        <v>0.4254</v>
      </c>
      <c r="W23" s="15">
        <f>STDEV(U23:U25)</f>
        <v>3.758989225842503E-3</v>
      </c>
      <c r="X23" s="3"/>
      <c r="Y23">
        <v>1</v>
      </c>
      <c r="Z23" s="15">
        <f>AVERAGE(Y23:Y25)</f>
        <v>0.94666666666666666</v>
      </c>
      <c r="AA23" s="15">
        <f>STDEV(Y23:Y25)</f>
        <v>6.1101009266077859E-2</v>
      </c>
      <c r="AB23" s="3"/>
      <c r="AC23">
        <f>Y23*0.03</f>
        <v>0.03</v>
      </c>
      <c r="AD23" s="15">
        <f>AVERAGE(AC23:AC25)</f>
        <v>2.8399999999999998E-2</v>
      </c>
      <c r="AE23" s="15">
        <f>STDEV(AC23:AC25)</f>
        <v>1.8330302779823355E-3</v>
      </c>
      <c r="AF23" s="3"/>
      <c r="AG23" s="6">
        <f>U23/AC23</f>
        <v>14.05</v>
      </c>
      <c r="AH23" s="8">
        <f>AVERAGE(AG23:AG25)</f>
        <v>15.027083333333332</v>
      </c>
      <c r="AI23" s="8">
        <f>STDEV(AG23:AG25)</f>
        <v>1.1204131027586801</v>
      </c>
      <c r="AJ23" s="12"/>
    </row>
    <row r="24" spans="2:36" ht="16.899999999999999" customHeight="1" x14ac:dyDescent="0.3">
      <c r="C24" t="s">
        <v>1</v>
      </c>
      <c r="D24">
        <v>4</v>
      </c>
      <c r="E24" s="9">
        <v>0.69340000000000002</v>
      </c>
      <c r="F24" s="9"/>
      <c r="G24" s="9"/>
      <c r="I24" s="10">
        <v>14.73</v>
      </c>
      <c r="J24" s="12"/>
      <c r="K24" s="12"/>
      <c r="M24" s="10">
        <v>6.18</v>
      </c>
      <c r="N24" s="12"/>
      <c r="O24" s="12"/>
      <c r="Q24">
        <v>14.19</v>
      </c>
      <c r="R24" s="15"/>
      <c r="S24" s="15"/>
      <c r="U24">
        <f t="shared" ref="U24:U25" si="6">Q24*0.03</f>
        <v>0.42569999999999997</v>
      </c>
      <c r="V24" s="15"/>
      <c r="W24" s="15"/>
      <c r="X24" s="3"/>
      <c r="Y24">
        <v>0.96</v>
      </c>
      <c r="Z24" s="15"/>
      <c r="AA24" s="15"/>
      <c r="AB24" s="3"/>
      <c r="AC24">
        <f t="shared" ref="AC24:AC25" si="7">Y24*0.03</f>
        <v>2.8799999999999999E-2</v>
      </c>
      <c r="AD24" s="15"/>
      <c r="AE24" s="15"/>
      <c r="AF24" s="3"/>
      <c r="AG24" s="6">
        <f>U24/AC24</f>
        <v>14.78125</v>
      </c>
      <c r="AH24" s="8"/>
      <c r="AI24" s="8"/>
      <c r="AJ24" s="12"/>
    </row>
    <row r="25" spans="2:36" ht="16.899999999999999" customHeight="1" x14ac:dyDescent="0.3">
      <c r="C25" t="s">
        <v>2</v>
      </c>
      <c r="D25">
        <v>4</v>
      </c>
      <c r="E25" s="9">
        <v>0.71419999999999995</v>
      </c>
      <c r="F25" s="9"/>
      <c r="G25" s="9"/>
      <c r="I25" s="10">
        <v>14.52</v>
      </c>
      <c r="J25" s="12"/>
      <c r="K25" s="12"/>
      <c r="M25" s="10">
        <v>6.25</v>
      </c>
      <c r="N25" s="12"/>
      <c r="O25" s="12"/>
      <c r="Q25">
        <v>14.3</v>
      </c>
      <c r="R25" s="15"/>
      <c r="S25" s="15"/>
      <c r="U25">
        <f t="shared" si="6"/>
        <v>0.42899999999999999</v>
      </c>
      <c r="V25" s="15"/>
      <c r="W25" s="15"/>
      <c r="X25" s="3"/>
      <c r="Y25">
        <v>0.88</v>
      </c>
      <c r="Z25" s="15"/>
      <c r="AA25" s="15"/>
      <c r="AB25" s="3"/>
      <c r="AC25">
        <f t="shared" si="7"/>
        <v>2.64E-2</v>
      </c>
      <c r="AD25" s="15"/>
      <c r="AE25" s="15"/>
      <c r="AF25" s="3"/>
      <c r="AG25" s="6">
        <f>U25/AC25</f>
        <v>16.25</v>
      </c>
      <c r="AH25" s="8"/>
      <c r="AI25" s="8"/>
      <c r="AJ25" s="12"/>
    </row>
    <row r="26" spans="2:36" ht="16.899999999999999" customHeight="1" x14ac:dyDescent="0.3">
      <c r="E26" s="9"/>
      <c r="F26" s="9"/>
      <c r="G26" s="9"/>
      <c r="I26" s="10"/>
      <c r="J26" s="12"/>
      <c r="K26" s="12"/>
      <c r="M26" s="10"/>
      <c r="N26" s="12"/>
      <c r="O26" s="12"/>
      <c r="Q26" t="s">
        <v>6</v>
      </c>
      <c r="R26" s="15"/>
      <c r="S26" s="15"/>
      <c r="U26" t="s">
        <v>6</v>
      </c>
      <c r="V26" s="15"/>
      <c r="W26" s="15"/>
      <c r="X26" s="3"/>
      <c r="Y26" t="s">
        <v>6</v>
      </c>
      <c r="Z26" s="15"/>
      <c r="AA26" s="15"/>
      <c r="AB26" s="3"/>
      <c r="AC26" t="s">
        <v>6</v>
      </c>
      <c r="AD26" s="15"/>
      <c r="AE26" s="15"/>
      <c r="AF26" s="3"/>
      <c r="AG26" s="6" t="s">
        <v>6</v>
      </c>
      <c r="AH26" s="8"/>
      <c r="AI26" s="8"/>
      <c r="AJ26" s="12"/>
    </row>
    <row r="27" spans="2:36" ht="16.899999999999999" customHeight="1" x14ac:dyDescent="0.3">
      <c r="B27">
        <v>1</v>
      </c>
      <c r="C27" t="s">
        <v>0</v>
      </c>
      <c r="D27">
        <v>5</v>
      </c>
      <c r="E27" s="9">
        <v>0.56479999999999997</v>
      </c>
      <c r="F27" s="9">
        <f>AVERAGE(E27:E29)</f>
        <v>0.57629999999999992</v>
      </c>
      <c r="G27" s="9">
        <f>STDEV(E27:E29)</f>
        <v>3.8268655581297856E-2</v>
      </c>
      <c r="I27" s="10">
        <v>13.82</v>
      </c>
      <c r="J27" s="12">
        <f>AVERAGE(I27:I29)</f>
        <v>13.31</v>
      </c>
      <c r="K27" s="12">
        <f>STDEV(I27:I29)</f>
        <v>0.4956813492557493</v>
      </c>
      <c r="M27" s="10">
        <v>6.34</v>
      </c>
      <c r="N27" s="12">
        <f>AVERAGE(M27:M29)</f>
        <v>6.3166666666666664</v>
      </c>
      <c r="O27" s="12">
        <f>STDEV(M27:M29)</f>
        <v>4.9328828623162443E-2</v>
      </c>
      <c r="Q27">
        <v>11.24</v>
      </c>
      <c r="R27" s="15">
        <f>AVERAGE(Q27:Q29)</f>
        <v>11.36</v>
      </c>
      <c r="S27" s="15">
        <f>STDEV(Q27:Q29)</f>
        <v>0.97555112628708562</v>
      </c>
      <c r="U27">
        <f>Q27*0.03</f>
        <v>0.3372</v>
      </c>
      <c r="V27" s="15">
        <f>AVERAGE(U27:U29)</f>
        <v>0.34079999999999999</v>
      </c>
      <c r="W27" s="15">
        <f>STDEV(U27:U29)</f>
        <v>2.9266533788612589E-2</v>
      </c>
      <c r="X27" s="3"/>
      <c r="Y27">
        <v>0.8</v>
      </c>
      <c r="Z27" s="15">
        <f>AVERAGE(Y27:Y29)</f>
        <v>0.78333333333333321</v>
      </c>
      <c r="AA27" s="15">
        <f>STDEV(Y27:Y29)</f>
        <v>7.6376261582597346E-2</v>
      </c>
      <c r="AB27" s="3"/>
      <c r="AC27">
        <f>Y27*0.03</f>
        <v>2.4E-2</v>
      </c>
      <c r="AD27" s="15">
        <f>AVERAGE(AC27:AC29)</f>
        <v>2.3500000000000004E-2</v>
      </c>
      <c r="AE27" s="15">
        <f>STDEV(AC27:AC29)</f>
        <v>2.2912878474779207E-3</v>
      </c>
      <c r="AF27" s="3"/>
      <c r="AG27" s="6">
        <f>U27/AC27</f>
        <v>14.049999999999999</v>
      </c>
      <c r="AH27" s="8">
        <f>AVERAGE(AG27:AG29)</f>
        <v>14.518347338935575</v>
      </c>
      <c r="AI27" s="8">
        <f>STDEV(AG27:AG29)</f>
        <v>0.44216023436914609</v>
      </c>
      <c r="AJ27" s="12"/>
    </row>
    <row r="28" spans="2:36" ht="16.899999999999999" customHeight="1" x14ac:dyDescent="0.3">
      <c r="C28" t="s">
        <v>1</v>
      </c>
      <c r="D28">
        <v>5</v>
      </c>
      <c r="E28" s="9">
        <v>0.61899999999999999</v>
      </c>
      <c r="F28" s="9"/>
      <c r="G28" s="9"/>
      <c r="I28" s="10">
        <v>13.28</v>
      </c>
      <c r="J28" s="12"/>
      <c r="K28" s="12"/>
      <c r="M28" s="10">
        <v>6.26</v>
      </c>
      <c r="N28" s="12"/>
      <c r="O28" s="12"/>
      <c r="Q28">
        <v>12.39</v>
      </c>
      <c r="R28" s="15"/>
      <c r="S28" s="15"/>
      <c r="U28">
        <f t="shared" ref="U28:U29" si="8">Q28*0.03</f>
        <v>0.37170000000000003</v>
      </c>
      <c r="V28" s="15"/>
      <c r="W28" s="15"/>
      <c r="X28" s="3"/>
      <c r="Y28">
        <v>0.85</v>
      </c>
      <c r="Z28" s="15"/>
      <c r="AA28" s="15"/>
      <c r="AB28" s="3"/>
      <c r="AC28">
        <f t="shared" ref="AC28:AC29" si="9">Y28*0.03</f>
        <v>2.5499999999999998E-2</v>
      </c>
      <c r="AD28" s="15"/>
      <c r="AE28" s="15"/>
      <c r="AF28" s="3"/>
      <c r="AG28" s="6">
        <f>U28/AC28</f>
        <v>14.576470588235296</v>
      </c>
      <c r="AH28" s="8"/>
      <c r="AI28" s="8"/>
      <c r="AJ28" s="12"/>
    </row>
    <row r="29" spans="2:36" ht="16.899999999999999" customHeight="1" x14ac:dyDescent="0.3">
      <c r="C29" t="s">
        <v>2</v>
      </c>
      <c r="D29">
        <v>5</v>
      </c>
      <c r="E29" s="9">
        <v>0.54510000000000003</v>
      </c>
      <c r="F29" s="9"/>
      <c r="G29" s="9"/>
      <c r="I29" s="10">
        <v>12.83</v>
      </c>
      <c r="J29" s="12"/>
      <c r="K29" s="12"/>
      <c r="M29" s="10">
        <v>6.35</v>
      </c>
      <c r="N29" s="12"/>
      <c r="O29" s="12"/>
      <c r="Q29">
        <v>10.45</v>
      </c>
      <c r="R29" s="15"/>
      <c r="S29" s="15"/>
      <c r="U29">
        <f t="shared" si="8"/>
        <v>0.31349999999999995</v>
      </c>
      <c r="V29" s="15"/>
      <c r="W29" s="15"/>
      <c r="X29" s="3"/>
      <c r="Y29">
        <v>0.7</v>
      </c>
      <c r="Z29" s="15"/>
      <c r="AA29" s="15"/>
      <c r="AB29" s="3"/>
      <c r="AC29">
        <f t="shared" si="9"/>
        <v>2.0999999999999998E-2</v>
      </c>
      <c r="AD29" s="15"/>
      <c r="AE29" s="15"/>
      <c r="AF29" s="3"/>
      <c r="AG29" s="6">
        <f>U29/AC29</f>
        <v>14.928571428571427</v>
      </c>
      <c r="AH29" s="8"/>
      <c r="AI29" s="8"/>
      <c r="AJ29" s="12"/>
    </row>
    <row r="30" spans="2:36" ht="16.899999999999999" customHeight="1" x14ac:dyDescent="0.3">
      <c r="E30" s="9"/>
      <c r="F30" s="9"/>
      <c r="G30" s="9"/>
      <c r="I30" s="10"/>
      <c r="J30" s="12"/>
      <c r="K30" s="12"/>
      <c r="M30" s="10"/>
      <c r="N30" s="12"/>
      <c r="O30" s="12"/>
      <c r="Q30" t="s">
        <v>6</v>
      </c>
      <c r="R30" s="15"/>
      <c r="S30" s="15"/>
      <c r="U30" t="s">
        <v>6</v>
      </c>
      <c r="V30" s="15"/>
      <c r="W30" s="15"/>
      <c r="X30" s="3"/>
      <c r="Y30" t="s">
        <v>6</v>
      </c>
      <c r="Z30" s="15"/>
      <c r="AA30" s="15"/>
      <c r="AB30" s="3"/>
      <c r="AC30" t="s">
        <v>6</v>
      </c>
      <c r="AD30" s="15"/>
      <c r="AE30" s="15"/>
      <c r="AF30" s="3"/>
      <c r="AG30" s="6" t="s">
        <v>6</v>
      </c>
      <c r="AH30" s="8"/>
      <c r="AI30" s="8"/>
      <c r="AJ30" s="12"/>
    </row>
    <row r="31" spans="2:36" ht="16.899999999999999" customHeight="1" x14ac:dyDescent="0.3">
      <c r="B31">
        <v>1</v>
      </c>
      <c r="C31" t="s">
        <v>0</v>
      </c>
      <c r="D31">
        <v>6</v>
      </c>
      <c r="E31" s="9">
        <v>0.51339999999999997</v>
      </c>
      <c r="F31" s="9">
        <f>AVERAGE(E31:E32)</f>
        <v>0.51619999999999999</v>
      </c>
      <c r="G31" s="9">
        <f>STDEV(E31:E32)</f>
        <v>3.959797974644701E-3</v>
      </c>
      <c r="I31" s="10">
        <v>11.64</v>
      </c>
      <c r="J31" s="12">
        <f>AVERAGE(I31:I33)</f>
        <v>12.763333333333334</v>
      </c>
      <c r="K31" s="12">
        <f>STDEV(I31:I33)</f>
        <v>1.0826048832946087</v>
      </c>
      <c r="M31" s="10">
        <v>6.28</v>
      </c>
      <c r="N31" s="12">
        <f>AVERAGE(M31:M33)</f>
        <v>6.2233333333333336</v>
      </c>
      <c r="O31" s="12">
        <f>STDEV(M31:M33)</f>
        <v>5.507570547286119E-2</v>
      </c>
      <c r="Q31">
        <v>9.9600000000000009</v>
      </c>
      <c r="R31" s="15">
        <f>AVERAGE(Q31:Q33)</f>
        <v>9.6066666666666674</v>
      </c>
      <c r="S31" s="15">
        <f>STDEV(Q31:Q33)</f>
        <v>0.58620246786697661</v>
      </c>
      <c r="U31">
        <f>Q31*0.03</f>
        <v>0.29880000000000001</v>
      </c>
      <c r="V31" s="15">
        <f>AVERAGE(U31:U33)</f>
        <v>0.28820000000000001</v>
      </c>
      <c r="W31" s="15">
        <f>STDEV(U31:U33)</f>
        <v>1.7586074036009307E-2</v>
      </c>
      <c r="X31" s="3"/>
      <c r="Y31">
        <v>0.67</v>
      </c>
      <c r="Z31" s="15">
        <f>AVERAGE(Y31:Y33)</f>
        <v>0.66666666666666663</v>
      </c>
      <c r="AA31" s="15">
        <f>STDEV(Y31:Y33)</f>
        <v>2.5166114784235805E-2</v>
      </c>
      <c r="AB31" s="3"/>
      <c r="AC31">
        <f>Y31*0.03</f>
        <v>2.01E-2</v>
      </c>
      <c r="AD31" s="15">
        <f>AVERAGE(AC31:AC33)</f>
        <v>0.02</v>
      </c>
      <c r="AE31" s="15">
        <f>STDEV(AC31:AC33)</f>
        <v>7.549834435270741E-4</v>
      </c>
      <c r="AF31" s="3"/>
      <c r="AG31" s="6">
        <f>U31/AC31</f>
        <v>14.865671641791046</v>
      </c>
      <c r="AH31" s="8">
        <f>AVERAGE(AG31:AG33)</f>
        <v>14.403366996539043</v>
      </c>
      <c r="AI31" s="8">
        <f>STDEV(AG31:AG33)</f>
        <v>0.45639289431531249</v>
      </c>
      <c r="AJ31" s="12"/>
    </row>
    <row r="32" spans="2:36" ht="16.899999999999999" customHeight="1" x14ac:dyDescent="0.3">
      <c r="C32" t="s">
        <v>1</v>
      </c>
      <c r="D32">
        <v>6</v>
      </c>
      <c r="E32" s="9">
        <v>0.51900000000000002</v>
      </c>
      <c r="F32" s="9"/>
      <c r="G32" s="9"/>
      <c r="I32" s="10">
        <v>13.8</v>
      </c>
      <c r="J32" s="10"/>
      <c r="K32" s="10"/>
      <c r="M32" s="10">
        <v>6.22</v>
      </c>
      <c r="N32" s="10"/>
      <c r="O32" s="10"/>
      <c r="Q32">
        <v>9.93</v>
      </c>
      <c r="U32">
        <f t="shared" ref="U32:U33" si="10">Q32*0.03</f>
        <v>0.2979</v>
      </c>
      <c r="X32" s="3"/>
      <c r="Y32">
        <v>0.69</v>
      </c>
      <c r="AB32" s="3"/>
      <c r="AC32">
        <f t="shared" ref="AC32:AC33" si="11">Y32*0.03</f>
        <v>2.0699999999999996E-2</v>
      </c>
      <c r="AF32" s="3"/>
      <c r="AG32" s="6">
        <f>U32/AC32</f>
        <v>14.39130434782609</v>
      </c>
      <c r="AJ32" s="10"/>
    </row>
    <row r="33" spans="3:36" ht="16.899999999999999" customHeight="1" x14ac:dyDescent="0.3">
      <c r="C33" t="s">
        <v>2</v>
      </c>
      <c r="D33">
        <v>6</v>
      </c>
      <c r="E33" s="9">
        <v>0.4834</v>
      </c>
      <c r="F33" s="9"/>
      <c r="G33" s="9"/>
      <c r="I33" s="10">
        <v>12.85</v>
      </c>
      <c r="J33" s="10"/>
      <c r="K33" s="10"/>
      <c r="M33" s="10">
        <v>6.17</v>
      </c>
      <c r="N33" s="10"/>
      <c r="O33" s="10"/>
      <c r="Q33">
        <v>8.93</v>
      </c>
      <c r="U33">
        <f t="shared" si="10"/>
        <v>0.26789999999999997</v>
      </c>
      <c r="X33" s="3"/>
      <c r="Y33">
        <v>0.64</v>
      </c>
      <c r="AB33" s="3"/>
      <c r="AC33">
        <f t="shared" si="11"/>
        <v>1.9199999999999998E-2</v>
      </c>
      <c r="AF33" s="3"/>
      <c r="AG33" s="6">
        <f>U33/AC33</f>
        <v>13.953125</v>
      </c>
      <c r="AJ33" s="10"/>
    </row>
    <row r="34" spans="3:36" x14ac:dyDescent="0.25">
      <c r="U34" s="17" t="s">
        <v>23</v>
      </c>
      <c r="V34" s="18">
        <f>SUM(V11:V33)</f>
        <v>2.3740999999999994</v>
      </c>
      <c r="Z34" s="14"/>
      <c r="AA34" s="14"/>
      <c r="AC34" s="19" t="s">
        <v>24</v>
      </c>
      <c r="AD34" s="20">
        <f>SUM(AD11:AD33)</f>
        <v>0.17489999999999997</v>
      </c>
      <c r="AH34" s="21">
        <f>V34/AD34</f>
        <v>13.574042309891366</v>
      </c>
      <c r="AJ34" s="10"/>
    </row>
    <row r="35" spans="3:36" x14ac:dyDescent="0.25">
      <c r="E35"/>
      <c r="F35"/>
      <c r="G35"/>
      <c r="U35" s="22" t="s">
        <v>25</v>
      </c>
      <c r="V35" s="14">
        <f>(U11+U15+U19+U23+U27+U31)</f>
        <v>2.3750999999999998</v>
      </c>
      <c r="Z35" s="14"/>
      <c r="AA35" s="14"/>
      <c r="AC35" s="22" t="s">
        <v>25</v>
      </c>
      <c r="AD35" s="14">
        <f>(AC11+AC15+AC19+AC23+AC27+AC31)</f>
        <v>0.1749</v>
      </c>
    </row>
    <row r="36" spans="3:36" x14ac:dyDescent="0.25">
      <c r="E36"/>
      <c r="F36"/>
      <c r="G36"/>
      <c r="U36" s="22" t="s">
        <v>26</v>
      </c>
      <c r="V36" s="14">
        <f>(U12+U16+U20+U24+U28+U32)</f>
        <v>2.3813999999999997</v>
      </c>
      <c r="Z36" s="14"/>
      <c r="AA36" s="14"/>
      <c r="AC36" s="22" t="s">
        <v>26</v>
      </c>
      <c r="AD36" s="14">
        <f>(AC12+AC16+AC20+AC24+AC28+AC32)</f>
        <v>0.17879999999999999</v>
      </c>
    </row>
    <row r="37" spans="3:36" x14ac:dyDescent="0.25">
      <c r="E37"/>
      <c r="F37"/>
      <c r="G37"/>
      <c r="U37" s="22" t="s">
        <v>27</v>
      </c>
      <c r="V37" s="14">
        <f>(U13+U17+U21+U25+U29+U33)</f>
        <v>2.3658000000000001</v>
      </c>
      <c r="Z37" s="14"/>
      <c r="AA37" s="14"/>
      <c r="AC37" s="22" t="s">
        <v>27</v>
      </c>
      <c r="AD37" s="14">
        <f>(AC13+AC17+AC21+AC25+AC29+AC33)</f>
        <v>0.17099999999999999</v>
      </c>
    </row>
    <row r="38" spans="3:36" x14ac:dyDescent="0.25">
      <c r="E38"/>
      <c r="F38"/>
      <c r="G38"/>
      <c r="U38" s="23" t="s">
        <v>4</v>
      </c>
      <c r="V38" s="24">
        <f>AVERAGE(V35:V37)</f>
        <v>2.3740999999999999</v>
      </c>
      <c r="Z38" s="14"/>
      <c r="AA38" s="14"/>
      <c r="AC38" s="23" t="s">
        <v>4</v>
      </c>
      <c r="AD38" s="24">
        <f>AVERAGE(AD35:AD37)</f>
        <v>0.17489999999999997</v>
      </c>
      <c r="AH38" s="25">
        <f>V38/AD38</f>
        <v>13.574042309891368</v>
      </c>
    </row>
    <row r="39" spans="3:36" x14ac:dyDescent="0.25">
      <c r="E39"/>
      <c r="F39"/>
      <c r="G39"/>
      <c r="U39" s="23" t="s">
        <v>28</v>
      </c>
      <c r="V39" s="24">
        <f>STDEV(V35:V37)</f>
        <v>7.8479296632931687E-3</v>
      </c>
      <c r="Z39" s="14"/>
      <c r="AA39" s="14"/>
      <c r="AC39" s="23" t="s">
        <v>28</v>
      </c>
      <c r="AD39" s="24">
        <f>STDEV(AD35:AD37)</f>
        <v>3.9000000000000007E-3</v>
      </c>
    </row>
    <row r="40" spans="3:36" x14ac:dyDescent="0.25">
      <c r="E40"/>
      <c r="F40"/>
      <c r="G40"/>
      <c r="Z40" s="14"/>
      <c r="AA40" s="14"/>
    </row>
    <row r="41" spans="3:36" x14ac:dyDescent="0.25">
      <c r="E41"/>
      <c r="F41"/>
      <c r="G41"/>
    </row>
    <row r="42" spans="3:36" x14ac:dyDescent="0.25">
      <c r="E42"/>
      <c r="F42"/>
      <c r="G42"/>
    </row>
    <row r="43" spans="3:36" x14ac:dyDescent="0.25">
      <c r="E43"/>
      <c r="F43"/>
      <c r="G43"/>
    </row>
    <row r="44" spans="3:36" x14ac:dyDescent="0.25">
      <c r="E44"/>
      <c r="F44"/>
      <c r="G44"/>
    </row>
    <row r="45" spans="3:36" x14ac:dyDescent="0.25">
      <c r="E45"/>
      <c r="F45"/>
      <c r="G45"/>
    </row>
    <row r="46" spans="3:36" x14ac:dyDescent="0.25">
      <c r="E46"/>
      <c r="F46"/>
      <c r="G46"/>
    </row>
    <row r="47" spans="3:36" x14ac:dyDescent="0.25">
      <c r="E47"/>
      <c r="F47"/>
      <c r="G47"/>
    </row>
    <row r="48" spans="3:36" x14ac:dyDescent="0.25">
      <c r="E48"/>
      <c r="F48"/>
      <c r="G48"/>
    </row>
    <row r="49" spans="5:7" x14ac:dyDescent="0.25">
      <c r="E49"/>
      <c r="F49"/>
      <c r="G49"/>
    </row>
    <row r="50" spans="5:7" x14ac:dyDescent="0.25">
      <c r="E50"/>
      <c r="F50"/>
      <c r="G50"/>
    </row>
    <row r="51" spans="5:7" x14ac:dyDescent="0.25">
      <c r="E51"/>
      <c r="F51"/>
      <c r="G51"/>
    </row>
    <row r="52" spans="5:7" x14ac:dyDescent="0.25">
      <c r="E52"/>
      <c r="F52"/>
      <c r="G52"/>
    </row>
    <row r="53" spans="5:7" x14ac:dyDescent="0.25">
      <c r="E53"/>
      <c r="F53"/>
      <c r="G53"/>
    </row>
    <row r="54" spans="5:7" x14ac:dyDescent="0.25">
      <c r="E54"/>
      <c r="F54"/>
      <c r="G54"/>
    </row>
    <row r="55" spans="5:7" x14ac:dyDescent="0.25">
      <c r="E55"/>
      <c r="F55"/>
      <c r="G55"/>
    </row>
    <row r="56" spans="5:7" x14ac:dyDescent="0.25">
      <c r="E56"/>
      <c r="F56"/>
      <c r="G56"/>
    </row>
  </sheetData>
  <printOptions gridLines="1"/>
  <pageMargins left="0.25" right="0.25" top="0.75" bottom="0.75" header="0.3" footer="0.3"/>
  <pageSetup paperSize="17" scale="3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725C-32DF-4236-9226-22947E5C6D26}">
  <sheetPr>
    <pageSetUpPr fitToPage="1"/>
  </sheetPr>
  <dimension ref="B4:AJ54"/>
  <sheetViews>
    <sheetView workbookViewId="0">
      <selection activeCell="A3" sqref="A3"/>
    </sheetView>
  </sheetViews>
  <sheetFormatPr defaultRowHeight="15" x14ac:dyDescent="0.25"/>
  <cols>
    <col min="1" max="1" width="8.85546875"/>
    <col min="2" max="2" width="7.42578125" customWidth="1"/>
    <col min="3" max="4" width="3.42578125" customWidth="1"/>
    <col min="5" max="5" width="9.42578125" style="5" customWidth="1"/>
    <col min="6" max="6" width="13.28515625" style="5" customWidth="1"/>
    <col min="7" max="7" width="9.42578125" style="5" customWidth="1"/>
    <col min="8" max="8" width="2.5703125" style="7" customWidth="1"/>
    <col min="9" max="9" width="11.28515625" style="7" customWidth="1"/>
    <col min="10" max="11" width="7.7109375" style="7" customWidth="1"/>
    <col min="12" max="12" width="2.5703125" style="7" customWidth="1"/>
    <col min="13" max="13" width="10.140625" style="7" customWidth="1"/>
    <col min="14" max="15" width="8.42578125" style="7" customWidth="1"/>
    <col min="16" max="16" width="2" customWidth="1"/>
    <col min="20" max="20" width="2.28515625" customWidth="1"/>
    <col min="22" max="23" width="9.140625" style="14"/>
    <col min="24" max="24" width="2" customWidth="1"/>
    <col min="28" max="28" width="1.5703125" customWidth="1"/>
    <col min="30" max="31" width="9.140625" style="14"/>
    <col min="32" max="32" width="1.5703125" customWidth="1"/>
    <col min="34" max="35" width="9.140625" style="6"/>
    <col min="36" max="36" width="1.85546875" style="7" customWidth="1"/>
  </cols>
  <sheetData>
    <row r="4" spans="2:36" x14ac:dyDescent="0.25">
      <c r="E4" s="5" t="s">
        <v>6</v>
      </c>
    </row>
    <row r="6" spans="2:36" x14ac:dyDescent="0.25">
      <c r="B6" s="4" t="s">
        <v>12</v>
      </c>
    </row>
    <row r="7" spans="2:36" x14ac:dyDescent="0.25">
      <c r="E7" s="9">
        <v>0</v>
      </c>
      <c r="F7" s="9"/>
      <c r="G7" s="9"/>
      <c r="H7" s="10"/>
      <c r="I7" s="10">
        <v>3425</v>
      </c>
      <c r="J7" s="10"/>
      <c r="K7" s="10"/>
      <c r="L7" s="10"/>
      <c r="M7" s="10">
        <v>5.6829999999999998</v>
      </c>
    </row>
    <row r="8" spans="2:36" x14ac:dyDescent="0.25">
      <c r="I8" s="10" t="s">
        <v>7</v>
      </c>
      <c r="J8" s="10"/>
      <c r="K8" s="10"/>
      <c r="M8" s="7" t="s">
        <v>6</v>
      </c>
      <c r="Q8" s="2" t="s">
        <v>15</v>
      </c>
      <c r="R8" s="2"/>
      <c r="S8" s="2"/>
      <c r="U8" s="2" t="s">
        <v>16</v>
      </c>
      <c r="V8" s="15"/>
      <c r="W8" s="15"/>
      <c r="Y8" s="2" t="s">
        <v>17</v>
      </c>
      <c r="Z8" s="2"/>
      <c r="AA8" s="2"/>
      <c r="AC8" s="2" t="s">
        <v>18</v>
      </c>
      <c r="AD8" s="15"/>
      <c r="AE8" s="15"/>
      <c r="AG8" t="s">
        <v>19</v>
      </c>
      <c r="AH8" s="8"/>
      <c r="AI8" s="8"/>
    </row>
    <row r="9" spans="2:36" ht="16.899999999999999" customHeight="1" x14ac:dyDescent="0.3">
      <c r="E9" s="9" t="s">
        <v>3</v>
      </c>
      <c r="F9" s="9" t="s">
        <v>4</v>
      </c>
      <c r="G9" s="9" t="s">
        <v>5</v>
      </c>
      <c r="H9" s="7" t="s">
        <v>6</v>
      </c>
      <c r="I9" s="10" t="s">
        <v>10</v>
      </c>
      <c r="J9" s="10" t="s">
        <v>4</v>
      </c>
      <c r="K9" s="10" t="s">
        <v>5</v>
      </c>
      <c r="L9" s="7" t="s">
        <v>6</v>
      </c>
      <c r="M9" s="13" t="s">
        <v>8</v>
      </c>
      <c r="N9" s="10" t="s">
        <v>4</v>
      </c>
      <c r="O9" s="10" t="s">
        <v>5</v>
      </c>
      <c r="Q9" s="2" t="s">
        <v>20</v>
      </c>
      <c r="R9" s="2" t="s">
        <v>4</v>
      </c>
      <c r="S9" s="2" t="s">
        <v>5</v>
      </c>
      <c r="U9" s="2" t="s">
        <v>21</v>
      </c>
      <c r="V9" s="15" t="s">
        <v>4</v>
      </c>
      <c r="W9" s="15" t="s">
        <v>5</v>
      </c>
      <c r="X9" s="3"/>
      <c r="Y9" s="2" t="s">
        <v>20</v>
      </c>
      <c r="Z9" s="2" t="s">
        <v>4</v>
      </c>
      <c r="AA9" s="2" t="s">
        <v>5</v>
      </c>
      <c r="AB9" s="3"/>
      <c r="AC9" s="2" t="s">
        <v>21</v>
      </c>
      <c r="AD9" s="15" t="s">
        <v>4</v>
      </c>
      <c r="AE9" s="15" t="s">
        <v>5</v>
      </c>
      <c r="AF9" s="3"/>
      <c r="AG9" t="s">
        <v>22</v>
      </c>
      <c r="AH9" s="8" t="s">
        <v>4</v>
      </c>
      <c r="AI9" s="8" t="s">
        <v>5</v>
      </c>
      <c r="AJ9" s="10"/>
    </row>
    <row r="10" spans="2:36" ht="16.899999999999999" customHeight="1" x14ac:dyDescent="0.3">
      <c r="E10" s="9"/>
      <c r="F10" s="9"/>
      <c r="G10" s="9"/>
      <c r="I10" s="10"/>
      <c r="J10" s="10"/>
      <c r="K10" s="10"/>
      <c r="M10" s="10"/>
      <c r="N10" s="10"/>
      <c r="O10" s="10"/>
      <c r="X10" s="3"/>
      <c r="AB10" s="3"/>
      <c r="AF10" s="3"/>
      <c r="AJ10" s="10"/>
    </row>
    <row r="11" spans="2:36" ht="16.899999999999999" customHeight="1" x14ac:dyDescent="0.3">
      <c r="B11">
        <v>5</v>
      </c>
      <c r="C11" t="s">
        <v>0</v>
      </c>
      <c r="D11">
        <v>1</v>
      </c>
      <c r="E11" s="9">
        <v>3.3300000000000003E-2</v>
      </c>
      <c r="F11" s="9">
        <f>AVERAGE(E11:E13)</f>
        <v>3.3099999999999997E-2</v>
      </c>
      <c r="G11" s="9">
        <f>STDEV(E11:E13)</f>
        <v>7.2111025509279732E-4</v>
      </c>
      <c r="I11" s="10">
        <v>4120</v>
      </c>
      <c r="J11" s="11">
        <f>AVERAGE(I11:I13)</f>
        <v>4133.333333333333</v>
      </c>
      <c r="K11" s="11">
        <f>STDEV(I11:I13)</f>
        <v>11.547005383792516</v>
      </c>
      <c r="M11" s="10">
        <v>4.62</v>
      </c>
      <c r="N11" s="11">
        <f>AVERAGE(M11:M13)</f>
        <v>4.5933333333333337</v>
      </c>
      <c r="O11" s="11">
        <f>STDEV(M11:M13)</f>
        <v>3.7859388972002035E-2</v>
      </c>
      <c r="Q11">
        <v>5.2</v>
      </c>
      <c r="R11" s="16">
        <f>AVERAGE(Q11:Q13)</f>
        <v>5.3500000000000005</v>
      </c>
      <c r="S11" s="16">
        <f>STDEV(Q11:Q13)</f>
        <v>0.19467922333931789</v>
      </c>
      <c r="U11">
        <f>Q11*0.03</f>
        <v>0.156</v>
      </c>
      <c r="V11" s="15">
        <f>AVERAGE(U11:U13)</f>
        <v>0.1605</v>
      </c>
      <c r="W11" s="15">
        <f>STDEV(U11:U13)</f>
        <v>5.840376700179532E-3</v>
      </c>
      <c r="X11" s="3"/>
      <c r="Y11">
        <v>1.64</v>
      </c>
      <c r="Z11" s="16">
        <f>AVERAGE(Y11:Y13)</f>
        <v>1.6833333333333333</v>
      </c>
      <c r="AA11" s="16">
        <f>STDEV(Y11:Y13)</f>
        <v>4.0414518843273836E-2</v>
      </c>
      <c r="AB11" s="3"/>
      <c r="AC11">
        <f>Y11*0.03</f>
        <v>4.9199999999999994E-2</v>
      </c>
      <c r="AD11" s="15">
        <f>AVERAGE(AC11:AC13)</f>
        <v>5.0499999999999996E-2</v>
      </c>
      <c r="AE11" s="15">
        <f>STDEV(AC11:AC13)</f>
        <v>1.2124355652982171E-3</v>
      </c>
      <c r="AF11" s="3"/>
      <c r="AG11" s="6">
        <f>U11/AC11</f>
        <v>3.1707317073170738</v>
      </c>
      <c r="AH11" s="8">
        <f>AVERAGE(AG11:AG13)</f>
        <v>3.1777880517899724</v>
      </c>
      <c r="AI11" s="8">
        <f>STDEV(AG11:AG13)</f>
        <v>5.738219397142396E-2</v>
      </c>
      <c r="AJ11" s="11"/>
    </row>
    <row r="12" spans="2:36" ht="16.899999999999999" customHeight="1" x14ac:dyDescent="0.3">
      <c r="C12" t="s">
        <v>1</v>
      </c>
      <c r="D12">
        <v>1</v>
      </c>
      <c r="E12" s="9">
        <v>3.2300000000000002E-2</v>
      </c>
      <c r="F12" s="9"/>
      <c r="G12" s="9"/>
      <c r="I12" s="10">
        <v>4140</v>
      </c>
      <c r="J12" s="10"/>
      <c r="K12" s="10"/>
      <c r="M12" s="10">
        <v>4.55</v>
      </c>
      <c r="N12" s="10"/>
      <c r="O12" s="10"/>
      <c r="Q12">
        <v>5.28</v>
      </c>
      <c r="R12" s="2"/>
      <c r="S12" s="2"/>
      <c r="U12">
        <f t="shared" ref="U12:U13" si="0">Q12*0.03</f>
        <v>0.15840000000000001</v>
      </c>
      <c r="V12" s="15"/>
      <c r="W12" s="15"/>
      <c r="X12" s="3"/>
      <c r="Y12">
        <v>1.69</v>
      </c>
      <c r="Z12" s="2"/>
      <c r="AA12" s="2"/>
      <c r="AB12" s="3"/>
      <c r="AC12">
        <f t="shared" ref="AC12:AC13" si="1">Y12*0.03</f>
        <v>5.0699999999999995E-2</v>
      </c>
      <c r="AD12" s="15"/>
      <c r="AE12" s="15"/>
      <c r="AF12" s="3"/>
      <c r="AG12" s="6">
        <f>U12/AC12</f>
        <v>3.1242603550295862</v>
      </c>
      <c r="AH12" s="8"/>
      <c r="AI12" s="8"/>
      <c r="AJ12" s="10"/>
    </row>
    <row r="13" spans="2:36" ht="16.899999999999999" customHeight="1" x14ac:dyDescent="0.3">
      <c r="C13" t="s">
        <v>2</v>
      </c>
      <c r="D13">
        <v>1</v>
      </c>
      <c r="E13" s="9">
        <v>3.3700000000000001E-2</v>
      </c>
      <c r="F13" s="9"/>
      <c r="G13" s="9"/>
      <c r="I13" s="10">
        <v>4140</v>
      </c>
      <c r="J13" s="10"/>
      <c r="K13" s="10"/>
      <c r="M13" s="10">
        <v>4.6100000000000003</v>
      </c>
      <c r="N13" s="10"/>
      <c r="O13" s="10"/>
      <c r="Q13">
        <v>5.57</v>
      </c>
      <c r="R13" s="2"/>
      <c r="S13" s="2"/>
      <c r="U13">
        <f t="shared" si="0"/>
        <v>0.1671</v>
      </c>
      <c r="V13" s="15"/>
      <c r="W13" s="15"/>
      <c r="X13" s="3"/>
      <c r="Y13">
        <v>1.72</v>
      </c>
      <c r="Z13" s="2"/>
      <c r="AA13" s="2"/>
      <c r="AB13" s="3"/>
      <c r="AC13">
        <f t="shared" si="1"/>
        <v>5.16E-2</v>
      </c>
      <c r="AD13" s="15"/>
      <c r="AE13" s="15"/>
      <c r="AF13" s="3"/>
      <c r="AG13" s="6">
        <f>U13/AC13</f>
        <v>3.2383720930232558</v>
      </c>
      <c r="AH13" s="8"/>
      <c r="AI13" s="8"/>
      <c r="AJ13" s="10"/>
    </row>
    <row r="14" spans="2:36" ht="16.899999999999999" customHeight="1" x14ac:dyDescent="0.3">
      <c r="E14" s="9"/>
      <c r="F14" s="9"/>
      <c r="G14" s="9"/>
      <c r="I14" s="10"/>
      <c r="J14" s="10"/>
      <c r="K14" s="10"/>
      <c r="M14" s="10"/>
      <c r="N14" s="10"/>
      <c r="O14" s="10"/>
      <c r="Q14" t="s">
        <v>6</v>
      </c>
      <c r="R14" s="2"/>
      <c r="S14" s="2"/>
      <c r="V14" s="15"/>
      <c r="W14" s="15"/>
      <c r="X14" s="3"/>
      <c r="Y14" t="s">
        <v>6</v>
      </c>
      <c r="Z14" s="2"/>
      <c r="AA14" s="2"/>
      <c r="AB14" s="3"/>
      <c r="AD14" s="15"/>
      <c r="AE14" s="15"/>
      <c r="AF14" s="3"/>
      <c r="AH14" s="8"/>
      <c r="AI14" s="8"/>
      <c r="AJ14" s="10"/>
    </row>
    <row r="15" spans="2:36" ht="16.899999999999999" customHeight="1" x14ac:dyDescent="0.3">
      <c r="B15">
        <v>5</v>
      </c>
      <c r="C15" t="s">
        <v>0</v>
      </c>
      <c r="D15">
        <v>2</v>
      </c>
      <c r="E15" s="9">
        <v>0.94710000000000005</v>
      </c>
      <c r="F15" s="9">
        <f>AVERAGE(E15:E17)</f>
        <v>0.92600000000000005</v>
      </c>
      <c r="G15" s="9">
        <f>STDEV(E15:E17)</f>
        <v>2.2512885199369743E-2</v>
      </c>
      <c r="I15" s="10">
        <v>318.8</v>
      </c>
      <c r="J15" s="11">
        <f>AVERAGE(I15:I17)</f>
        <v>326.06666666666666</v>
      </c>
      <c r="K15" s="11">
        <f>STDEV(I15:I17)</f>
        <v>6.6665833328124773</v>
      </c>
      <c r="M15" s="10">
        <v>5.76</v>
      </c>
      <c r="N15" s="11">
        <f>AVERAGE(M15:M17)</f>
        <v>5.6566666666666663</v>
      </c>
      <c r="O15" s="11">
        <f>STDEV(M15:M17)</f>
        <v>9.2915732431775561E-2</v>
      </c>
      <c r="Q15">
        <v>22.58</v>
      </c>
      <c r="R15" s="16">
        <f>AVERAGE(Q15:Q17)</f>
        <v>22.036666666666665</v>
      </c>
      <c r="S15" s="16">
        <f>STDEV(Q15:Q17)</f>
        <v>0.87271606684724867</v>
      </c>
      <c r="U15">
        <f>Q15*0.03</f>
        <v>0.67739999999999989</v>
      </c>
      <c r="V15" s="15">
        <f>AVERAGE(U15:U17)</f>
        <v>0.66109999999999991</v>
      </c>
      <c r="W15" s="15">
        <f>STDEV(U15:U17)</f>
        <v>2.6181482005417433E-2</v>
      </c>
      <c r="X15" s="3"/>
      <c r="Y15">
        <v>1.27</v>
      </c>
      <c r="Z15" s="16">
        <f>AVERAGE(Y15:Y17)</f>
        <v>1.25</v>
      </c>
      <c r="AA15" s="16">
        <f>STDEV(Y15:Y17)</f>
        <v>3.4641016151377581E-2</v>
      </c>
      <c r="AB15" s="3"/>
      <c r="AC15">
        <f>Y15*0.03</f>
        <v>3.8100000000000002E-2</v>
      </c>
      <c r="AD15" s="15">
        <f>AVERAGE(AC15:AC17)</f>
        <v>3.7499999999999999E-2</v>
      </c>
      <c r="AE15" s="15">
        <f>STDEV(AC15:AC17)</f>
        <v>1.0392304845413282E-3</v>
      </c>
      <c r="AF15" s="3"/>
      <c r="AG15" s="6">
        <f>U15/AC15</f>
        <v>17.779527559055115</v>
      </c>
      <c r="AH15" s="8">
        <f>AVERAGE(AG15:AG17)</f>
        <v>17.644541333159797</v>
      </c>
      <c r="AI15" s="8">
        <f>STDEV(AG15:AG17)</f>
        <v>1.0246833251366774</v>
      </c>
      <c r="AJ15" s="11"/>
    </row>
    <row r="16" spans="2:36" ht="16.899999999999999" customHeight="1" x14ac:dyDescent="0.3">
      <c r="C16" t="s">
        <v>1</v>
      </c>
      <c r="D16">
        <v>2</v>
      </c>
      <c r="E16" s="9">
        <v>0.90229999999999999</v>
      </c>
      <c r="F16" s="9"/>
      <c r="G16" s="9"/>
      <c r="I16" s="10">
        <v>327.5</v>
      </c>
      <c r="J16" s="10"/>
      <c r="K16" s="10"/>
      <c r="M16" s="10">
        <v>5.58</v>
      </c>
      <c r="N16" s="10"/>
      <c r="O16" s="10"/>
      <c r="Q16">
        <v>21.03</v>
      </c>
      <c r="R16" s="2"/>
      <c r="S16" s="2"/>
      <c r="U16">
        <f t="shared" ref="U16:U17" si="2">Q16*0.03</f>
        <v>0.63090000000000002</v>
      </c>
      <c r="V16" s="15"/>
      <c r="W16" s="15"/>
      <c r="X16" s="3"/>
      <c r="Y16">
        <v>1.27</v>
      </c>
      <c r="Z16" s="2"/>
      <c r="AA16" s="2"/>
      <c r="AB16" s="3"/>
      <c r="AC16">
        <f t="shared" ref="AC16:AC17" si="3">Y16*0.03</f>
        <v>3.8100000000000002E-2</v>
      </c>
      <c r="AD16" s="15"/>
      <c r="AE16" s="15"/>
      <c r="AF16" s="3"/>
      <c r="AG16" s="6">
        <f>U16/AC16</f>
        <v>16.559055118110237</v>
      </c>
      <c r="AH16" s="8"/>
      <c r="AI16" s="8"/>
      <c r="AJ16" s="10"/>
    </row>
    <row r="17" spans="2:36" ht="16.899999999999999" customHeight="1" x14ac:dyDescent="0.3">
      <c r="C17" t="s">
        <v>2</v>
      </c>
      <c r="D17">
        <v>2</v>
      </c>
      <c r="E17" s="9">
        <v>0.92859999999999998</v>
      </c>
      <c r="F17" s="9"/>
      <c r="G17" s="9"/>
      <c r="I17" s="10">
        <v>331.9</v>
      </c>
      <c r="J17" s="10"/>
      <c r="K17" s="10"/>
      <c r="M17" s="10">
        <v>5.63</v>
      </c>
      <c r="N17" s="10"/>
      <c r="O17" s="10"/>
      <c r="Q17">
        <v>22.5</v>
      </c>
      <c r="R17" s="2"/>
      <c r="S17" s="2"/>
      <c r="U17">
        <f t="shared" si="2"/>
        <v>0.67499999999999993</v>
      </c>
      <c r="V17" s="15"/>
      <c r="W17" s="15"/>
      <c r="X17" s="3"/>
      <c r="Y17">
        <v>1.21</v>
      </c>
      <c r="Z17" s="2"/>
      <c r="AA17" s="2"/>
      <c r="AB17" s="3"/>
      <c r="AC17">
        <f t="shared" si="3"/>
        <v>3.6299999999999999E-2</v>
      </c>
      <c r="AD17" s="15"/>
      <c r="AE17" s="15"/>
      <c r="AF17" s="3"/>
      <c r="AG17" s="6">
        <f>U17/AC17</f>
        <v>18.595041322314049</v>
      </c>
      <c r="AH17" s="8"/>
      <c r="AI17" s="8"/>
      <c r="AJ17" s="10"/>
    </row>
    <row r="18" spans="2:36" ht="16.899999999999999" customHeight="1" x14ac:dyDescent="0.3">
      <c r="E18" s="9"/>
      <c r="F18" s="9"/>
      <c r="G18" s="9"/>
      <c r="I18" s="10"/>
      <c r="J18" s="10"/>
      <c r="K18" s="10"/>
      <c r="M18" s="10"/>
      <c r="N18" s="10"/>
      <c r="O18" s="10"/>
      <c r="Q18" t="s">
        <v>6</v>
      </c>
      <c r="R18" s="2"/>
      <c r="S18" s="2"/>
      <c r="U18" t="s">
        <v>6</v>
      </c>
      <c r="V18" s="15"/>
      <c r="W18" s="15"/>
      <c r="X18" s="3"/>
      <c r="Y18" t="s">
        <v>6</v>
      </c>
      <c r="Z18" s="2"/>
      <c r="AA18" s="2"/>
      <c r="AB18" s="3"/>
      <c r="AC18" t="s">
        <v>6</v>
      </c>
      <c r="AD18" s="15"/>
      <c r="AE18" s="15"/>
      <c r="AF18" s="3"/>
      <c r="AG18" s="6" t="s">
        <v>6</v>
      </c>
      <c r="AH18" s="8"/>
      <c r="AI18" s="8"/>
      <c r="AJ18" s="10"/>
    </row>
    <row r="19" spans="2:36" ht="16.899999999999999" customHeight="1" x14ac:dyDescent="0.3">
      <c r="B19">
        <v>5</v>
      </c>
      <c r="C19" t="s">
        <v>0</v>
      </c>
      <c r="D19">
        <v>3</v>
      </c>
      <c r="E19" s="9">
        <v>1.2782</v>
      </c>
      <c r="F19" s="9">
        <f>AVERAGE(E19:E21)</f>
        <v>1.2684666666666666</v>
      </c>
      <c r="G19" s="9">
        <f>STDEV(E19:E21)</f>
        <v>2.7903643728612405E-2</v>
      </c>
      <c r="I19" s="10">
        <v>43.35</v>
      </c>
      <c r="J19" s="11">
        <f>AVERAGE(I19:I21)</f>
        <v>43.013333333333328</v>
      </c>
      <c r="K19" s="11">
        <f>STDEV(I19:I21)</f>
        <v>0.36226141573914949</v>
      </c>
      <c r="M19" s="10">
        <v>6.33</v>
      </c>
      <c r="N19" s="11">
        <f>AVERAGE(M19:M21)</f>
        <v>6.3166666666666664</v>
      </c>
      <c r="O19" s="11">
        <f>STDEV(M19:M21)</f>
        <v>2.3094010767585053E-2</v>
      </c>
      <c r="Q19">
        <v>28.39</v>
      </c>
      <c r="R19" s="16">
        <f>AVERAGE(Q19:Q21)</f>
        <v>28.81</v>
      </c>
      <c r="S19" s="16">
        <f>STDEV(Q19:Q21)</f>
        <v>1.0923369443537108</v>
      </c>
      <c r="U19">
        <f>Q19*0.03</f>
        <v>0.85170000000000001</v>
      </c>
      <c r="V19" s="15">
        <f>AVERAGE(U19:U21)</f>
        <v>0.86429999999999996</v>
      </c>
      <c r="W19" s="15">
        <f>STDEV(U19:U21)</f>
        <v>3.2770108330611315E-2</v>
      </c>
      <c r="X19" s="3"/>
      <c r="Y19">
        <v>1.79</v>
      </c>
      <c r="Z19" s="16">
        <f>AVERAGE(Y19:Y21)</f>
        <v>1.7700000000000002</v>
      </c>
      <c r="AA19" s="16">
        <f>STDEV(Y19:Y21)</f>
        <v>6.2449979983984036E-2</v>
      </c>
      <c r="AB19" s="3"/>
      <c r="AC19">
        <f>Y19*0.03</f>
        <v>5.3699999999999998E-2</v>
      </c>
      <c r="AD19" s="15">
        <f>AVERAGE(AC19:AC21)</f>
        <v>5.3100000000000001E-2</v>
      </c>
      <c r="AE19" s="15">
        <f>STDEV(AC19:AC21)</f>
        <v>1.8734993995195221E-3</v>
      </c>
      <c r="AF19" s="3"/>
      <c r="AG19" s="6">
        <f>U19/AC19</f>
        <v>15.860335195530727</v>
      </c>
      <c r="AH19" s="8">
        <f>AVERAGE(AG19:AG21)</f>
        <v>16.278676696290891</v>
      </c>
      <c r="AI19" s="8">
        <f>STDEV(AG19:AG21)</f>
        <v>0.36303269886166845</v>
      </c>
      <c r="AJ19" s="11"/>
    </row>
    <row r="20" spans="2:36" ht="16.899999999999999" customHeight="1" x14ac:dyDescent="0.3">
      <c r="C20" t="s">
        <v>1</v>
      </c>
      <c r="D20">
        <v>3</v>
      </c>
      <c r="E20" s="9">
        <v>1.2370000000000001</v>
      </c>
      <c r="F20" s="9"/>
      <c r="G20" s="9"/>
      <c r="I20" s="10">
        <v>43.06</v>
      </c>
      <c r="J20" s="10"/>
      <c r="K20" s="10"/>
      <c r="M20" s="10">
        <v>6.33</v>
      </c>
      <c r="N20" s="10"/>
      <c r="O20" s="10"/>
      <c r="Q20">
        <v>27.99</v>
      </c>
      <c r="R20" s="2"/>
      <c r="S20" s="2"/>
      <c r="U20">
        <f t="shared" ref="U20:U21" si="4">Q20*0.03</f>
        <v>0.83969999999999989</v>
      </c>
      <c r="V20" s="15"/>
      <c r="W20" s="15"/>
      <c r="X20" s="3"/>
      <c r="Y20">
        <v>1.7</v>
      </c>
      <c r="Z20" s="2"/>
      <c r="AA20" s="2"/>
      <c r="AB20" s="3"/>
      <c r="AC20">
        <f t="shared" ref="AC20:AC21" si="5">Y20*0.03</f>
        <v>5.0999999999999997E-2</v>
      </c>
      <c r="AD20" s="15"/>
      <c r="AE20" s="15"/>
      <c r="AF20" s="3"/>
      <c r="AG20" s="6">
        <f>U20/AC20</f>
        <v>16.464705882352941</v>
      </c>
      <c r="AH20" s="8"/>
      <c r="AI20" s="8"/>
      <c r="AJ20" s="10"/>
    </row>
    <row r="21" spans="2:36" ht="16.899999999999999" customHeight="1" x14ac:dyDescent="0.3">
      <c r="C21" t="s">
        <v>2</v>
      </c>
      <c r="D21">
        <v>3</v>
      </c>
      <c r="E21" s="9">
        <v>1.2902</v>
      </c>
      <c r="F21" s="9"/>
      <c r="G21" s="9"/>
      <c r="I21" s="10">
        <v>42.63</v>
      </c>
      <c r="J21" s="10"/>
      <c r="K21" s="10"/>
      <c r="M21" s="10">
        <v>6.29</v>
      </c>
      <c r="N21" s="10"/>
      <c r="O21" s="10"/>
      <c r="Q21">
        <v>30.05</v>
      </c>
      <c r="R21" s="2"/>
      <c r="S21" s="2"/>
      <c r="U21">
        <f t="shared" si="4"/>
        <v>0.90149999999999997</v>
      </c>
      <c r="V21" s="15"/>
      <c r="W21" s="15"/>
      <c r="X21" s="3"/>
      <c r="Y21">
        <v>1.82</v>
      </c>
      <c r="Z21" s="2"/>
      <c r="AA21" s="2"/>
      <c r="AB21" s="3"/>
      <c r="AC21">
        <f t="shared" si="5"/>
        <v>5.4600000000000003E-2</v>
      </c>
      <c r="AD21" s="15"/>
      <c r="AE21" s="15"/>
      <c r="AF21" s="3"/>
      <c r="AG21" s="6">
        <f>U21/AC21</f>
        <v>16.510989010989011</v>
      </c>
      <c r="AH21" s="8"/>
      <c r="AI21" s="8"/>
      <c r="AJ21" s="10"/>
    </row>
    <row r="22" spans="2:36" ht="16.899999999999999" customHeight="1" x14ac:dyDescent="0.3">
      <c r="E22" s="9"/>
      <c r="F22" s="9"/>
      <c r="G22" s="9"/>
      <c r="I22" s="10"/>
      <c r="J22" s="10"/>
      <c r="K22" s="10"/>
      <c r="M22" s="10"/>
      <c r="N22" s="10"/>
      <c r="O22" s="10"/>
      <c r="Q22" t="s">
        <v>6</v>
      </c>
      <c r="R22" s="2"/>
      <c r="S22" s="2"/>
      <c r="U22" t="s">
        <v>6</v>
      </c>
      <c r="V22" s="15"/>
      <c r="W22" s="15"/>
      <c r="X22" s="3"/>
      <c r="Y22" t="s">
        <v>6</v>
      </c>
      <c r="Z22" s="2"/>
      <c r="AA22" s="2"/>
      <c r="AB22" s="3"/>
      <c r="AC22" t="s">
        <v>6</v>
      </c>
      <c r="AD22" s="15"/>
      <c r="AE22" s="15"/>
      <c r="AF22" s="3"/>
      <c r="AG22" s="6" t="s">
        <v>6</v>
      </c>
      <c r="AH22" s="8"/>
      <c r="AI22" s="8"/>
      <c r="AJ22" s="10"/>
    </row>
    <row r="23" spans="2:36" ht="16.899999999999999" customHeight="1" x14ac:dyDescent="0.3">
      <c r="B23">
        <v>5</v>
      </c>
      <c r="C23" t="s">
        <v>0</v>
      </c>
      <c r="D23">
        <v>4</v>
      </c>
      <c r="E23" s="9">
        <v>0.96350000000000002</v>
      </c>
      <c r="F23" s="9">
        <f>AVERAGE(E23:E25)</f>
        <v>0.99743333333333339</v>
      </c>
      <c r="G23" s="9">
        <f>STDEV(E23:E25)</f>
        <v>2.9420457734938996E-2</v>
      </c>
      <c r="I23" s="10">
        <v>23.56</v>
      </c>
      <c r="J23" s="12">
        <f>AVERAGE(I23:I25)</f>
        <v>23.429999999999996</v>
      </c>
      <c r="K23" s="12">
        <f>STDEV(I23:I25)</f>
        <v>0.14730919862656211</v>
      </c>
      <c r="M23" s="10">
        <v>6.55</v>
      </c>
      <c r="N23" s="12">
        <f>AVERAGE(M23:M25)</f>
        <v>6.543333333333333</v>
      </c>
      <c r="O23" s="12">
        <f>STDEV(M23:M25)</f>
        <v>2.0816659994661382E-2</v>
      </c>
      <c r="Q23">
        <v>20.329999999999998</v>
      </c>
      <c r="R23" s="15">
        <f>AVERAGE(Q23:Q25)</f>
        <v>21.313333333333333</v>
      </c>
      <c r="S23" s="15">
        <f>STDEV(Q23:Q25)</f>
        <v>0.86222580182533182</v>
      </c>
      <c r="U23">
        <f>Q23*0.03</f>
        <v>0.60989999999999989</v>
      </c>
      <c r="V23" s="15">
        <f>AVERAGE(U23:U25)</f>
        <v>0.63939999999999986</v>
      </c>
      <c r="W23" s="15">
        <f>STDEV(U23:U25)</f>
        <v>2.5866774054759969E-2</v>
      </c>
      <c r="X23" s="3"/>
      <c r="Y23">
        <v>1.35</v>
      </c>
      <c r="Z23" s="15">
        <f>AVERAGE(Y23:Y25)</f>
        <v>1.4166666666666667</v>
      </c>
      <c r="AA23" s="15">
        <f>STDEV(Y23:Y25)</f>
        <v>5.8594652770823076E-2</v>
      </c>
      <c r="AB23" s="3"/>
      <c r="AC23">
        <f>Y23*0.03</f>
        <v>4.0500000000000001E-2</v>
      </c>
      <c r="AD23" s="15">
        <f>AVERAGE(AC23:AC25)</f>
        <v>4.2500000000000003E-2</v>
      </c>
      <c r="AE23" s="15">
        <f>STDEV(AC23:AC25)</f>
        <v>1.7578395831246924E-3</v>
      </c>
      <c r="AF23" s="3"/>
      <c r="AG23" s="6">
        <f>U23/AC23</f>
        <v>15.059259259259257</v>
      </c>
      <c r="AH23" s="8">
        <f>AVERAGE(AG23:AG25)</f>
        <v>15.045089210214782</v>
      </c>
      <c r="AI23" s="8">
        <f>STDEV(AG23:AG25)</f>
        <v>1.6220344764437986E-2</v>
      </c>
      <c r="AJ23" s="12"/>
    </row>
    <row r="24" spans="2:36" ht="16.899999999999999" customHeight="1" x14ac:dyDescent="0.3">
      <c r="C24" t="s">
        <v>1</v>
      </c>
      <c r="D24">
        <v>4</v>
      </c>
      <c r="E24" s="9">
        <v>1.0129999999999999</v>
      </c>
      <c r="F24" s="9"/>
      <c r="G24" s="9"/>
      <c r="I24" s="10">
        <v>23.27</v>
      </c>
      <c r="J24" s="12"/>
      <c r="K24" s="12"/>
      <c r="M24" s="10">
        <v>6.52</v>
      </c>
      <c r="N24" s="12"/>
      <c r="O24" s="12"/>
      <c r="Q24">
        <v>21.67</v>
      </c>
      <c r="R24" s="15"/>
      <c r="S24" s="15"/>
      <c r="U24">
        <f t="shared" ref="U24:U25" si="6">Q24*0.03</f>
        <v>0.65010000000000001</v>
      </c>
      <c r="V24" s="15"/>
      <c r="W24" s="15"/>
      <c r="X24" s="3"/>
      <c r="Y24">
        <v>1.44</v>
      </c>
      <c r="Z24" s="15"/>
      <c r="AA24" s="15"/>
      <c r="AB24" s="3"/>
      <c r="AC24">
        <f t="shared" ref="AC24:AC25" si="7">Y24*0.03</f>
        <v>4.3199999999999995E-2</v>
      </c>
      <c r="AD24" s="15"/>
      <c r="AE24" s="15"/>
      <c r="AF24" s="3"/>
      <c r="AG24" s="6">
        <f>U24/AC24</f>
        <v>15.048611111111112</v>
      </c>
      <c r="AH24" s="8"/>
      <c r="AI24" s="8"/>
      <c r="AJ24" s="12"/>
    </row>
    <row r="25" spans="2:36" ht="16.899999999999999" customHeight="1" x14ac:dyDescent="0.3">
      <c r="C25" t="s">
        <v>2</v>
      </c>
      <c r="D25">
        <v>4</v>
      </c>
      <c r="E25" s="9">
        <v>1.0158</v>
      </c>
      <c r="F25" s="9"/>
      <c r="G25" s="9"/>
      <c r="I25" s="10">
        <v>23.46</v>
      </c>
      <c r="J25" s="12"/>
      <c r="K25" s="12"/>
      <c r="M25" s="10">
        <v>6.56</v>
      </c>
      <c r="N25" s="12"/>
      <c r="O25" s="12"/>
      <c r="Q25">
        <v>21.94</v>
      </c>
      <c r="R25" s="15"/>
      <c r="S25" s="15"/>
      <c r="U25">
        <f t="shared" si="6"/>
        <v>0.65820000000000001</v>
      </c>
      <c r="V25" s="15"/>
      <c r="W25" s="15"/>
      <c r="X25" s="3"/>
      <c r="Y25">
        <v>1.46</v>
      </c>
      <c r="Z25" s="15"/>
      <c r="AA25" s="15"/>
      <c r="AB25" s="3"/>
      <c r="AC25">
        <f t="shared" si="7"/>
        <v>4.3799999999999999E-2</v>
      </c>
      <c r="AD25" s="15"/>
      <c r="AE25" s="15"/>
      <c r="AF25" s="3"/>
      <c r="AG25" s="6">
        <f>U25/AC25</f>
        <v>15.027397260273974</v>
      </c>
      <c r="AH25" s="8"/>
      <c r="AI25" s="8"/>
      <c r="AJ25" s="12"/>
    </row>
    <row r="26" spans="2:36" ht="16.899999999999999" customHeight="1" x14ac:dyDescent="0.3">
      <c r="E26" s="9"/>
      <c r="F26" s="9"/>
      <c r="G26" s="9"/>
      <c r="I26" s="10"/>
      <c r="J26" s="12"/>
      <c r="K26" s="12"/>
      <c r="M26" s="10"/>
      <c r="N26" s="12"/>
      <c r="O26" s="12"/>
      <c r="Q26" t="s">
        <v>6</v>
      </c>
      <c r="R26" s="15"/>
      <c r="S26" s="15"/>
      <c r="U26" t="s">
        <v>6</v>
      </c>
      <c r="V26" s="15"/>
      <c r="W26" s="15"/>
      <c r="X26" s="3"/>
      <c r="Y26" t="s">
        <v>6</v>
      </c>
      <c r="Z26" s="15"/>
      <c r="AA26" s="15"/>
      <c r="AB26" s="3"/>
      <c r="AC26" t="s">
        <v>6</v>
      </c>
      <c r="AD26" s="15"/>
      <c r="AE26" s="15"/>
      <c r="AF26" s="3"/>
      <c r="AG26" s="6" t="s">
        <v>6</v>
      </c>
      <c r="AH26" s="8"/>
      <c r="AI26" s="8"/>
      <c r="AJ26" s="12"/>
    </row>
    <row r="27" spans="2:36" ht="16.899999999999999" customHeight="1" x14ac:dyDescent="0.3">
      <c r="B27">
        <v>5</v>
      </c>
      <c r="C27" t="s">
        <v>0</v>
      </c>
      <c r="D27">
        <v>5</v>
      </c>
      <c r="E27" s="9">
        <v>0.65139999999999998</v>
      </c>
      <c r="F27" s="9">
        <f>AVERAGE(E27:E29)</f>
        <v>0.66816666666666669</v>
      </c>
      <c r="G27" s="9">
        <f>STDEV(E27:E29)</f>
        <v>3.0877230013933134E-2</v>
      </c>
      <c r="I27" s="10">
        <v>20.09</v>
      </c>
      <c r="J27" s="12">
        <f>AVERAGE(I27:I29)</f>
        <v>19.936666666666667</v>
      </c>
      <c r="K27" s="12">
        <f>STDEV(I27:I29)</f>
        <v>0.20792626898334288</v>
      </c>
      <c r="M27" s="10">
        <v>6.73</v>
      </c>
      <c r="N27" s="12">
        <f>AVERAGE(M27:M29)</f>
        <v>6.7266666666666666</v>
      </c>
      <c r="O27" s="12">
        <f>STDEV(M27:M29)</f>
        <v>2.5166114784235766E-2</v>
      </c>
      <c r="Q27">
        <v>13.49</v>
      </c>
      <c r="R27" s="15">
        <f>AVERAGE(Q27:Q29)</f>
        <v>13.966666666666667</v>
      </c>
      <c r="S27" s="15">
        <f>STDEV(Q27:Q29)</f>
        <v>0.5444569159569318</v>
      </c>
      <c r="U27">
        <f>Q27*0.03</f>
        <v>0.4047</v>
      </c>
      <c r="V27" s="15">
        <f>AVERAGE(U27:U29)</f>
        <v>0.41900000000000004</v>
      </c>
      <c r="W27" s="15">
        <f>STDEV(U27:U29)</f>
        <v>1.6333707478707962E-2</v>
      </c>
      <c r="X27" s="3"/>
      <c r="Y27">
        <v>0.92</v>
      </c>
      <c r="Z27" s="15">
        <f>AVERAGE(Y27:Y29)</f>
        <v>0.92666666666666664</v>
      </c>
      <c r="AA27" s="15">
        <f>STDEV(Y27:Y29)</f>
        <v>3.0550504633038902E-2</v>
      </c>
      <c r="AB27" s="3"/>
      <c r="AC27">
        <f>Y27*0.03</f>
        <v>2.76E-2</v>
      </c>
      <c r="AD27" s="15">
        <f>AVERAGE(AC27:AC29)</f>
        <v>2.7800000000000002E-2</v>
      </c>
      <c r="AE27" s="15">
        <f>STDEV(AC27:AC29)</f>
        <v>9.1651513899116777E-4</v>
      </c>
      <c r="AF27" s="3"/>
      <c r="AG27" s="6">
        <f>U27/AC27</f>
        <v>14.663043478260869</v>
      </c>
      <c r="AH27" s="8">
        <f>AVERAGE(AG27:AG29)</f>
        <v>15.072866344605474</v>
      </c>
      <c r="AI27" s="8">
        <f>STDEV(AG27:AG29)</f>
        <v>0.37190289773881408</v>
      </c>
      <c r="AJ27" s="12"/>
    </row>
    <row r="28" spans="2:36" ht="16.899999999999999" customHeight="1" x14ac:dyDescent="0.3">
      <c r="C28" t="s">
        <v>1</v>
      </c>
      <c r="D28">
        <v>5</v>
      </c>
      <c r="E28" s="9">
        <v>0.70379999999999998</v>
      </c>
      <c r="F28" s="9"/>
      <c r="G28" s="9"/>
      <c r="I28" s="10">
        <v>19.7</v>
      </c>
      <c r="J28" s="12"/>
      <c r="K28" s="12"/>
      <c r="M28" s="10">
        <v>6.75</v>
      </c>
      <c r="N28" s="12"/>
      <c r="O28" s="12"/>
      <c r="Q28">
        <v>14.56</v>
      </c>
      <c r="R28" s="15"/>
      <c r="S28" s="15"/>
      <c r="U28">
        <f t="shared" ref="U28:U29" si="8">Q28*0.03</f>
        <v>0.43680000000000002</v>
      </c>
      <c r="V28" s="15"/>
      <c r="W28" s="15"/>
      <c r="X28" s="3"/>
      <c r="Y28">
        <v>0.96</v>
      </c>
      <c r="Z28" s="15"/>
      <c r="AA28" s="15"/>
      <c r="AB28" s="3"/>
      <c r="AC28">
        <f t="shared" ref="AC28:AC29" si="9">Y28*0.03</f>
        <v>2.8799999999999999E-2</v>
      </c>
      <c r="AD28" s="15"/>
      <c r="AE28" s="15"/>
      <c r="AF28" s="3"/>
      <c r="AG28" s="6">
        <f>U28/AC28</f>
        <v>15.166666666666668</v>
      </c>
      <c r="AH28" s="8"/>
      <c r="AI28" s="8"/>
      <c r="AJ28" s="12"/>
    </row>
    <row r="29" spans="2:36" ht="16.899999999999999" customHeight="1" x14ac:dyDescent="0.3">
      <c r="C29" t="s">
        <v>2</v>
      </c>
      <c r="D29">
        <v>5</v>
      </c>
      <c r="E29" s="9">
        <v>0.64929999999999999</v>
      </c>
      <c r="F29" s="9"/>
      <c r="G29" s="9"/>
      <c r="I29" s="10">
        <v>20.02</v>
      </c>
      <c r="J29" s="12"/>
      <c r="K29" s="12"/>
      <c r="M29" s="10">
        <v>6.7</v>
      </c>
      <c r="N29" s="12"/>
      <c r="O29" s="12"/>
      <c r="Q29">
        <v>13.85</v>
      </c>
      <c r="R29" s="15"/>
      <c r="S29" s="15"/>
      <c r="U29">
        <f t="shared" si="8"/>
        <v>0.41549999999999998</v>
      </c>
      <c r="V29" s="15"/>
      <c r="W29" s="15"/>
      <c r="X29" s="3"/>
      <c r="Y29">
        <v>0.9</v>
      </c>
      <c r="Z29" s="15"/>
      <c r="AA29" s="15"/>
      <c r="AB29" s="3"/>
      <c r="AC29">
        <f t="shared" si="9"/>
        <v>2.7E-2</v>
      </c>
      <c r="AD29" s="15"/>
      <c r="AE29" s="15"/>
      <c r="AF29" s="3"/>
      <c r="AG29" s="6">
        <f>U29/AC29</f>
        <v>15.388888888888888</v>
      </c>
      <c r="AH29" s="8"/>
      <c r="AI29" s="8"/>
      <c r="AJ29" s="12"/>
    </row>
    <row r="30" spans="2:36" ht="16.899999999999999" customHeight="1" x14ac:dyDescent="0.3">
      <c r="E30" s="9"/>
      <c r="F30" s="9"/>
      <c r="G30" s="9"/>
      <c r="I30" s="10" t="s">
        <v>6</v>
      </c>
      <c r="J30" s="12"/>
      <c r="K30" s="12"/>
      <c r="M30" s="10"/>
      <c r="N30" s="12"/>
      <c r="O30" s="12"/>
      <c r="Q30" t="s">
        <v>6</v>
      </c>
      <c r="R30" s="15"/>
      <c r="S30" s="15"/>
      <c r="U30" t="s">
        <v>6</v>
      </c>
      <c r="V30" s="15"/>
      <c r="W30" s="15"/>
      <c r="X30" s="3"/>
      <c r="Y30" t="s">
        <v>6</v>
      </c>
      <c r="Z30" s="15"/>
      <c r="AA30" s="15"/>
      <c r="AB30" s="3"/>
      <c r="AC30" t="s">
        <v>6</v>
      </c>
      <c r="AD30" s="15"/>
      <c r="AE30" s="15"/>
      <c r="AF30" s="3"/>
      <c r="AG30" s="6" t="s">
        <v>6</v>
      </c>
      <c r="AH30" s="8"/>
      <c r="AI30" s="8"/>
      <c r="AJ30" s="12"/>
    </row>
    <row r="31" spans="2:36" ht="16.899999999999999" customHeight="1" x14ac:dyDescent="0.3">
      <c r="B31">
        <v>5</v>
      </c>
      <c r="C31" t="s">
        <v>0</v>
      </c>
      <c r="D31">
        <v>6</v>
      </c>
      <c r="E31" s="9">
        <v>0.54649999999999999</v>
      </c>
      <c r="F31" s="9">
        <f>AVERAGE(E31:E33)</f>
        <v>0.55679999999999996</v>
      </c>
      <c r="G31" s="9">
        <f>STDEV(E31:E33)</f>
        <v>1.3363008643265908E-2</v>
      </c>
      <c r="I31" s="10">
        <v>18.399999999999999</v>
      </c>
      <c r="J31" s="12">
        <f>AVERAGE(I31:I33)</f>
        <v>17.616666666666671</v>
      </c>
      <c r="K31" s="12">
        <f>STDEV(I31:I33)</f>
        <v>0.98561317631884915</v>
      </c>
      <c r="M31" s="10">
        <v>6.65</v>
      </c>
      <c r="N31" s="12">
        <f>AVERAGE(M31:M33)</f>
        <v>6.63</v>
      </c>
      <c r="O31" s="12">
        <f>STDEV(M31:M33)</f>
        <v>3.4641016151377831E-2</v>
      </c>
      <c r="Q31">
        <v>11.68</v>
      </c>
      <c r="R31" s="15">
        <f>AVERAGE(Q31:Q33)</f>
        <v>11.943333333333333</v>
      </c>
      <c r="S31" s="15">
        <f>STDEV(Q31:Q33)</f>
        <v>0.24337899115029105</v>
      </c>
      <c r="U31">
        <f>Q31*0.03</f>
        <v>0.35039999999999999</v>
      </c>
      <c r="V31" s="15">
        <f>AVERAGE(U31:U33)</f>
        <v>0.35830000000000001</v>
      </c>
      <c r="W31" s="15">
        <f>STDEV(U31:U33)</f>
        <v>7.3013697345087379E-3</v>
      </c>
      <c r="X31" s="3"/>
      <c r="Y31">
        <v>0.77</v>
      </c>
      <c r="Z31" s="15">
        <f>AVERAGE(Y31:Y33)</f>
        <v>0.77666666666666673</v>
      </c>
      <c r="AA31" s="15">
        <f>STDEV(Y31:Y33)</f>
        <v>3.0550504633038961E-2</v>
      </c>
      <c r="AB31" s="3"/>
      <c r="AC31">
        <f>Y31*0.03</f>
        <v>2.3099999999999999E-2</v>
      </c>
      <c r="AD31" s="15">
        <f>AVERAGE(AC31:AC33)</f>
        <v>2.3299999999999998E-2</v>
      </c>
      <c r="AE31" s="15">
        <f>STDEV(AC31:AC33)</f>
        <v>9.1651513899116961E-4</v>
      </c>
      <c r="AF31" s="3"/>
      <c r="AG31" s="6">
        <f>U31/AC31</f>
        <v>15.168831168831169</v>
      </c>
      <c r="AH31" s="8">
        <f>AVERAGE(AG31:AG33)</f>
        <v>15.389281171503393</v>
      </c>
      <c r="AI31" s="8">
        <f>STDEV(AG31:AG33)</f>
        <v>0.52323417272246475</v>
      </c>
      <c r="AJ31" s="12"/>
    </row>
    <row r="32" spans="2:36" ht="16.899999999999999" customHeight="1" x14ac:dyDescent="0.3">
      <c r="C32" t="s">
        <v>1</v>
      </c>
      <c r="D32">
        <v>6</v>
      </c>
      <c r="E32" s="9">
        <v>0.57189999999999996</v>
      </c>
      <c r="F32" s="9"/>
      <c r="G32" s="9"/>
      <c r="I32" s="10">
        <v>17.940000000000001</v>
      </c>
      <c r="J32" s="10"/>
      <c r="K32" s="10"/>
      <c r="M32" s="10">
        <v>6.59</v>
      </c>
      <c r="N32" s="10"/>
      <c r="O32" s="10"/>
      <c r="Q32">
        <v>12.16</v>
      </c>
      <c r="U32">
        <f t="shared" ref="U32:U33" si="10">Q32*0.03</f>
        <v>0.36480000000000001</v>
      </c>
      <c r="X32" s="3"/>
      <c r="Y32">
        <v>0.81</v>
      </c>
      <c r="AB32" s="3"/>
      <c r="AC32">
        <f t="shared" ref="AC32:AC33" si="11">Y32*0.03</f>
        <v>2.4300000000000002E-2</v>
      </c>
      <c r="AF32" s="3"/>
      <c r="AG32" s="6">
        <f>U32/AC32</f>
        <v>15.012345679012345</v>
      </c>
      <c r="AJ32" s="10"/>
    </row>
    <row r="33" spans="3:36" ht="16.899999999999999" customHeight="1" x14ac:dyDescent="0.3">
      <c r="C33" t="s">
        <v>2</v>
      </c>
      <c r="D33">
        <v>6</v>
      </c>
      <c r="E33" s="9">
        <v>0.55200000000000005</v>
      </c>
      <c r="F33" s="9"/>
      <c r="G33" s="9"/>
      <c r="I33" s="10">
        <v>16.510000000000002</v>
      </c>
      <c r="J33" s="10"/>
      <c r="K33" s="10"/>
      <c r="M33" s="10">
        <v>6.65</v>
      </c>
      <c r="N33" s="10"/>
      <c r="O33" s="10"/>
      <c r="Q33">
        <v>11.99</v>
      </c>
      <c r="U33">
        <f t="shared" si="10"/>
        <v>0.35970000000000002</v>
      </c>
      <c r="X33" s="3"/>
      <c r="Y33">
        <v>0.75</v>
      </c>
      <c r="AB33" s="3"/>
      <c r="AC33">
        <f t="shared" si="11"/>
        <v>2.2499999999999999E-2</v>
      </c>
      <c r="AF33" s="3"/>
      <c r="AG33" s="6">
        <f>U33/AC33</f>
        <v>15.986666666666668</v>
      </c>
      <c r="AJ33" s="10"/>
    </row>
    <row r="34" spans="3:36" x14ac:dyDescent="0.25">
      <c r="U34" s="17" t="s">
        <v>23</v>
      </c>
      <c r="V34" s="18">
        <f>SUM(V11:V33)</f>
        <v>3.1025999999999994</v>
      </c>
      <c r="Z34" s="14"/>
      <c r="AA34" s="14"/>
      <c r="AC34" s="19" t="s">
        <v>24</v>
      </c>
      <c r="AD34" s="20">
        <f>SUM(AD11:AD33)</f>
        <v>0.23469999999999999</v>
      </c>
      <c r="AH34" s="21">
        <f>V34/AD34</f>
        <v>13.219429058372388</v>
      </c>
      <c r="AJ34" s="10"/>
    </row>
    <row r="35" spans="3:36" x14ac:dyDescent="0.25">
      <c r="U35" s="22" t="s">
        <v>25</v>
      </c>
      <c r="V35" s="14">
        <f>(U11+U15+U19+U23+U27+U31)</f>
        <v>3.0501</v>
      </c>
      <c r="Z35" s="14"/>
      <c r="AA35" s="14"/>
      <c r="AC35" s="22" t="s">
        <v>25</v>
      </c>
      <c r="AD35" s="14">
        <f>(AC11+AC15+AC19+AC23+AC27+AC31)</f>
        <v>0.23220000000000002</v>
      </c>
    </row>
    <row r="36" spans="3:36" x14ac:dyDescent="0.25">
      <c r="E36"/>
      <c r="F36"/>
      <c r="G36"/>
      <c r="H36"/>
      <c r="U36" s="22" t="s">
        <v>26</v>
      </c>
      <c r="V36" s="14">
        <f>(U12+U16+U20+U24+U28+U32)</f>
        <v>3.0807000000000002</v>
      </c>
      <c r="Z36" s="14"/>
      <c r="AA36" s="14"/>
      <c r="AC36" s="22" t="s">
        <v>26</v>
      </c>
      <c r="AD36" s="14">
        <f>(AC12+AC16+AC20+AC24+AC28+AC32)</f>
        <v>0.23609999999999998</v>
      </c>
    </row>
    <row r="37" spans="3:36" x14ac:dyDescent="0.25">
      <c r="E37"/>
      <c r="F37"/>
      <c r="G37"/>
      <c r="H37"/>
      <c r="U37" s="22" t="s">
        <v>27</v>
      </c>
      <c r="V37" s="14">
        <f>(U13+U17+U21+U25+U29+U33)</f>
        <v>3.1769999999999996</v>
      </c>
      <c r="Z37" s="14"/>
      <c r="AA37" s="14"/>
      <c r="AC37" s="22" t="s">
        <v>27</v>
      </c>
      <c r="AD37" s="14">
        <f>(AC13+AC17+AC21+AC25+AC29+AC33)</f>
        <v>0.23580000000000001</v>
      </c>
    </row>
    <row r="38" spans="3:36" x14ac:dyDescent="0.25">
      <c r="E38"/>
      <c r="F38"/>
      <c r="G38"/>
      <c r="H38"/>
      <c r="U38" s="23" t="s">
        <v>4</v>
      </c>
      <c r="V38" s="24">
        <f>AVERAGE(V35:V37)</f>
        <v>3.1026000000000002</v>
      </c>
      <c r="Z38" s="14"/>
      <c r="AA38" s="14"/>
      <c r="AC38" s="23" t="s">
        <v>4</v>
      </c>
      <c r="AD38" s="24">
        <f>AVERAGE(AD35:AD37)</f>
        <v>0.23469999999999999</v>
      </c>
      <c r="AH38" s="25">
        <f>V38/AD38</f>
        <v>13.219429058372391</v>
      </c>
    </row>
    <row r="39" spans="3:36" x14ac:dyDescent="0.25">
      <c r="E39"/>
      <c r="F39"/>
      <c r="G39"/>
      <c r="H39"/>
      <c r="U39" s="23" t="s">
        <v>28</v>
      </c>
      <c r="V39" s="24">
        <f>STDEV(V35:V37)</f>
        <v>6.622393827008452E-2</v>
      </c>
      <c r="Z39" s="14"/>
      <c r="AA39" s="14"/>
      <c r="AC39" s="23" t="s">
        <v>28</v>
      </c>
      <c r="AD39" s="24">
        <f>STDEV(AD35:AD37)</f>
        <v>2.1702534414210551E-3</v>
      </c>
    </row>
    <row r="40" spans="3:36" x14ac:dyDescent="0.25">
      <c r="E40"/>
      <c r="F40"/>
      <c r="G40"/>
      <c r="H40"/>
      <c r="Z40" s="14"/>
      <c r="AA40" s="14"/>
    </row>
    <row r="41" spans="3:36" x14ac:dyDescent="0.25">
      <c r="E41"/>
      <c r="F41"/>
      <c r="G41"/>
      <c r="H41"/>
    </row>
    <row r="42" spans="3:36" x14ac:dyDescent="0.25">
      <c r="E42"/>
      <c r="F42"/>
      <c r="G42"/>
      <c r="H42"/>
    </row>
    <row r="43" spans="3:36" x14ac:dyDescent="0.25">
      <c r="E43"/>
      <c r="F43"/>
      <c r="G43"/>
      <c r="H43"/>
    </row>
    <row r="44" spans="3:36" x14ac:dyDescent="0.25">
      <c r="E44"/>
      <c r="F44"/>
      <c r="G44"/>
      <c r="H44"/>
    </row>
    <row r="45" spans="3:36" x14ac:dyDescent="0.25">
      <c r="E45"/>
      <c r="F45"/>
      <c r="G45"/>
      <c r="H45"/>
    </row>
    <row r="46" spans="3:36" x14ac:dyDescent="0.25">
      <c r="E46"/>
      <c r="F46"/>
      <c r="G46"/>
      <c r="H46"/>
    </row>
    <row r="47" spans="3:36" x14ac:dyDescent="0.25">
      <c r="E47"/>
      <c r="F47"/>
      <c r="G47"/>
      <c r="H47"/>
    </row>
    <row r="48" spans="3:36" x14ac:dyDescent="0.25">
      <c r="E48"/>
      <c r="F48"/>
      <c r="G48"/>
      <c r="H48"/>
    </row>
    <row r="49" spans="5:8" x14ac:dyDescent="0.25">
      <c r="E49"/>
      <c r="F49"/>
      <c r="G49"/>
      <c r="H49"/>
    </row>
    <row r="50" spans="5:8" x14ac:dyDescent="0.25">
      <c r="E50"/>
      <c r="F50"/>
      <c r="G50"/>
      <c r="H50"/>
    </row>
    <row r="51" spans="5:8" x14ac:dyDescent="0.25">
      <c r="E51"/>
      <c r="F51"/>
      <c r="G51"/>
      <c r="H51"/>
    </row>
    <row r="52" spans="5:8" x14ac:dyDescent="0.25">
      <c r="E52"/>
      <c r="F52"/>
      <c r="G52"/>
      <c r="H52"/>
    </row>
    <row r="53" spans="5:8" x14ac:dyDescent="0.25">
      <c r="E53"/>
      <c r="F53"/>
      <c r="G53"/>
      <c r="H53"/>
    </row>
    <row r="54" spans="5:8" x14ac:dyDescent="0.25">
      <c r="E54"/>
      <c r="F54"/>
      <c r="G54"/>
      <c r="H54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D0D6-905F-40A1-A078-8B32840CDDDD}">
  <sheetPr>
    <pageSetUpPr fitToPage="1"/>
  </sheetPr>
  <dimension ref="B4:AJ55"/>
  <sheetViews>
    <sheetView workbookViewId="0">
      <selection activeCell="A2" sqref="A2"/>
    </sheetView>
  </sheetViews>
  <sheetFormatPr defaultRowHeight="15" x14ac:dyDescent="0.25"/>
  <cols>
    <col min="1" max="1" width="8.85546875"/>
    <col min="2" max="2" width="7.42578125" customWidth="1"/>
    <col min="3" max="4" width="3.42578125" customWidth="1"/>
    <col min="5" max="5" width="10" style="5" customWidth="1"/>
    <col min="6" max="6" width="13.85546875" style="5" customWidth="1"/>
    <col min="7" max="7" width="10" style="5" customWidth="1"/>
    <col min="8" max="8" width="2.5703125" style="7" customWidth="1"/>
    <col min="9" max="9" width="11.85546875" style="7" customWidth="1"/>
    <col min="10" max="11" width="7.7109375" style="7" customWidth="1"/>
    <col min="12" max="12" width="2.5703125" style="7" customWidth="1"/>
    <col min="13" max="13" width="10.42578125" style="7" customWidth="1"/>
    <col min="14" max="15" width="8.140625" style="7" customWidth="1"/>
    <col min="16" max="16" width="2" customWidth="1"/>
    <col min="20" max="20" width="2.28515625" customWidth="1"/>
    <col min="22" max="23" width="9.140625" style="14"/>
    <col min="24" max="24" width="2" customWidth="1"/>
    <col min="28" max="28" width="1.5703125" customWidth="1"/>
    <col min="30" max="31" width="9.140625" style="14"/>
    <col min="32" max="32" width="1.5703125" customWidth="1"/>
    <col min="34" max="35" width="9.140625" style="6"/>
    <col min="36" max="36" width="1.85546875" style="7" customWidth="1"/>
  </cols>
  <sheetData>
    <row r="4" spans="2:36" x14ac:dyDescent="0.25">
      <c r="E4" s="5" t="s">
        <v>6</v>
      </c>
    </row>
    <row r="6" spans="2:36" x14ac:dyDescent="0.25">
      <c r="B6" s="4" t="s">
        <v>11</v>
      </c>
    </row>
    <row r="7" spans="2:36" x14ac:dyDescent="0.25">
      <c r="E7" s="9">
        <v>0</v>
      </c>
      <c r="F7" s="9"/>
      <c r="G7" s="9"/>
      <c r="H7" s="10"/>
      <c r="I7" s="10">
        <v>15580</v>
      </c>
      <c r="J7" s="10"/>
      <c r="K7" s="10"/>
      <c r="L7" s="10"/>
      <c r="M7" s="10">
        <v>5.5970000000000004</v>
      </c>
    </row>
    <row r="8" spans="2:36" x14ac:dyDescent="0.25">
      <c r="I8" s="10" t="s">
        <v>7</v>
      </c>
      <c r="J8" s="10"/>
      <c r="K8" s="10"/>
      <c r="M8" s="7" t="s">
        <v>6</v>
      </c>
      <c r="Q8" s="2" t="s">
        <v>15</v>
      </c>
      <c r="R8" s="2"/>
      <c r="S8" s="2"/>
      <c r="U8" s="2" t="s">
        <v>16</v>
      </c>
      <c r="V8" s="15"/>
      <c r="W8" s="15"/>
      <c r="Y8" s="2" t="s">
        <v>17</v>
      </c>
      <c r="Z8" s="2"/>
      <c r="AA8" s="2"/>
      <c r="AC8" s="2" t="s">
        <v>18</v>
      </c>
      <c r="AD8" s="15"/>
      <c r="AE8" s="15"/>
      <c r="AG8" t="s">
        <v>19</v>
      </c>
      <c r="AH8" s="8"/>
      <c r="AI8" s="8"/>
    </row>
    <row r="9" spans="2:36" ht="16.899999999999999" customHeight="1" x14ac:dyDescent="0.3">
      <c r="E9" s="9" t="s">
        <v>3</v>
      </c>
      <c r="F9" s="9" t="s">
        <v>4</v>
      </c>
      <c r="G9" s="9" t="s">
        <v>5</v>
      </c>
      <c r="H9" s="7" t="s">
        <v>6</v>
      </c>
      <c r="I9" s="10" t="s">
        <v>10</v>
      </c>
      <c r="J9" s="10" t="s">
        <v>4</v>
      </c>
      <c r="K9" s="10" t="s">
        <v>5</v>
      </c>
      <c r="L9" s="7" t="s">
        <v>6</v>
      </c>
      <c r="M9" s="13" t="s">
        <v>8</v>
      </c>
      <c r="N9" s="10" t="s">
        <v>4</v>
      </c>
      <c r="O9" s="10" t="s">
        <v>5</v>
      </c>
      <c r="Q9" s="2" t="s">
        <v>20</v>
      </c>
      <c r="R9" s="2" t="s">
        <v>4</v>
      </c>
      <c r="S9" s="2" t="s">
        <v>5</v>
      </c>
      <c r="U9" s="2" t="s">
        <v>21</v>
      </c>
      <c r="V9" s="15" t="s">
        <v>4</v>
      </c>
      <c r="W9" s="15" t="s">
        <v>5</v>
      </c>
      <c r="X9" s="3"/>
      <c r="Y9" s="2" t="s">
        <v>20</v>
      </c>
      <c r="Z9" s="2" t="s">
        <v>4</v>
      </c>
      <c r="AA9" s="2" t="s">
        <v>5</v>
      </c>
      <c r="AB9" s="3"/>
      <c r="AC9" s="2" t="s">
        <v>21</v>
      </c>
      <c r="AD9" s="15" t="s">
        <v>4</v>
      </c>
      <c r="AE9" s="15" t="s">
        <v>5</v>
      </c>
      <c r="AF9" s="3"/>
      <c r="AG9" t="s">
        <v>22</v>
      </c>
      <c r="AH9" s="8" t="s">
        <v>4</v>
      </c>
      <c r="AI9" s="8" t="s">
        <v>5</v>
      </c>
      <c r="AJ9" s="10"/>
    </row>
    <row r="10" spans="2:36" ht="16.899999999999999" customHeight="1" x14ac:dyDescent="0.3">
      <c r="E10" s="9"/>
      <c r="F10" s="9"/>
      <c r="G10" s="9"/>
      <c r="I10" s="10"/>
      <c r="J10" s="10"/>
      <c r="K10" s="10"/>
      <c r="M10" s="10"/>
      <c r="N10" s="10"/>
      <c r="O10" s="10"/>
      <c r="X10" s="3"/>
      <c r="AB10" s="3"/>
      <c r="AF10" s="3"/>
      <c r="AJ10" s="10"/>
    </row>
    <row r="11" spans="2:36" ht="16.899999999999999" customHeight="1" x14ac:dyDescent="0.3">
      <c r="B11">
        <v>25</v>
      </c>
      <c r="C11" t="s">
        <v>0</v>
      </c>
      <c r="D11">
        <v>1</v>
      </c>
      <c r="E11" s="9">
        <v>3.0300000000000001E-2</v>
      </c>
      <c r="F11" s="9">
        <f>AVERAGE(E11:E13)</f>
        <v>3.0700000000000002E-2</v>
      </c>
      <c r="G11" s="9">
        <f>STDEV(E11:E13)</f>
        <v>3.6055512754639866E-4</v>
      </c>
      <c r="I11" s="10">
        <v>18600</v>
      </c>
      <c r="J11" s="11">
        <f>AVERAGE(I11:I13)</f>
        <v>18566.666666666668</v>
      </c>
      <c r="K11" s="11">
        <f>STDEV(I11:I13)</f>
        <v>30.550504633038937</v>
      </c>
      <c r="M11" s="10">
        <v>4.26</v>
      </c>
      <c r="N11" s="11">
        <f>AVERAGE(M11:M13)</f>
        <v>4.2699999999999996</v>
      </c>
      <c r="O11" s="11">
        <f>STDEV(M11:M13)</f>
        <v>1.0000000000000231E-2</v>
      </c>
      <c r="Q11">
        <v>5.87</v>
      </c>
      <c r="R11" s="16">
        <f>AVERAGE(Q11:Q13)</f>
        <v>5.8066666666666658</v>
      </c>
      <c r="S11" s="16">
        <f>STDEV(Q11:Q13)</f>
        <v>0.44836740886613646</v>
      </c>
      <c r="U11">
        <f>Q11*0.03</f>
        <v>0.17610000000000001</v>
      </c>
      <c r="V11" s="15">
        <f>AVERAGE(U11:U13)</f>
        <v>0.17419999999999999</v>
      </c>
      <c r="W11" s="15">
        <f>STDEV(U11:U13)</f>
        <v>1.3451022265984101E-2</v>
      </c>
      <c r="X11" s="3"/>
      <c r="Y11">
        <v>2.31</v>
      </c>
      <c r="Z11" s="16">
        <f>AVERAGE(Y11:Y13)</f>
        <v>2.3266666666666667</v>
      </c>
      <c r="AA11" s="16">
        <f>STDEV(Y11:Y13)</f>
        <v>1.5275252316519385E-2</v>
      </c>
      <c r="AB11" s="3"/>
      <c r="AC11">
        <f>Y11*0.03</f>
        <v>6.93E-2</v>
      </c>
      <c r="AD11" s="15">
        <f>AVERAGE(AC11:AC13)</f>
        <v>6.9799999999999987E-2</v>
      </c>
      <c r="AE11" s="15">
        <f>STDEV(AC11:AC13)</f>
        <v>4.582575694955835E-4</v>
      </c>
      <c r="AF11" s="3"/>
      <c r="AG11" s="6">
        <f>U11/AC11</f>
        <v>2.5411255411255413</v>
      </c>
      <c r="AH11" s="8">
        <f>AVERAGE(AG11:AG13)</f>
        <v>2.4955996157712899</v>
      </c>
      <c r="AI11" s="8">
        <f>STDEV(AG11:AG13)</f>
        <v>0.18943138430787554</v>
      </c>
      <c r="AJ11" s="11"/>
    </row>
    <row r="12" spans="2:36" ht="16.899999999999999" customHeight="1" x14ac:dyDescent="0.3">
      <c r="C12" t="s">
        <v>1</v>
      </c>
      <c r="D12">
        <v>1</v>
      </c>
      <c r="E12" s="9">
        <v>3.0800000000000001E-2</v>
      </c>
      <c r="F12" s="9"/>
      <c r="G12" s="9"/>
      <c r="I12" s="10">
        <v>18560</v>
      </c>
      <c r="J12" s="10"/>
      <c r="K12" s="10"/>
      <c r="M12" s="10">
        <v>4.2699999999999996</v>
      </c>
      <c r="N12" s="10"/>
      <c r="O12" s="10"/>
      <c r="Q12">
        <v>5.33</v>
      </c>
      <c r="R12" s="2"/>
      <c r="S12" s="2"/>
      <c r="U12">
        <f t="shared" ref="U12:U13" si="0">Q12*0.03</f>
        <v>0.15989999999999999</v>
      </c>
      <c r="V12" s="15"/>
      <c r="W12" s="15"/>
      <c r="X12" s="3"/>
      <c r="Y12">
        <v>2.33</v>
      </c>
      <c r="Z12" s="2"/>
      <c r="AA12" s="2"/>
      <c r="AB12" s="3"/>
      <c r="AC12">
        <f t="shared" ref="AC12:AC13" si="1">Y12*0.03</f>
        <v>6.9900000000000004E-2</v>
      </c>
      <c r="AD12" s="15"/>
      <c r="AE12" s="15"/>
      <c r="AF12" s="3"/>
      <c r="AG12" s="6">
        <f>U12/AC12</f>
        <v>2.2875536480686693</v>
      </c>
      <c r="AH12" s="8"/>
      <c r="AI12" s="8"/>
      <c r="AJ12" s="10"/>
    </row>
    <row r="13" spans="2:36" ht="16.899999999999999" customHeight="1" x14ac:dyDescent="0.3">
      <c r="C13" t="s">
        <v>2</v>
      </c>
      <c r="D13">
        <v>1</v>
      </c>
      <c r="E13" s="9">
        <v>3.1E-2</v>
      </c>
      <c r="F13" s="9"/>
      <c r="G13" s="9"/>
      <c r="I13" s="10">
        <v>18540</v>
      </c>
      <c r="J13" s="10"/>
      <c r="K13" s="10"/>
      <c r="M13" s="10">
        <v>4.28</v>
      </c>
      <c r="N13" s="10"/>
      <c r="O13" s="10"/>
      <c r="Q13">
        <v>6.22</v>
      </c>
      <c r="R13" s="2"/>
      <c r="S13" s="2"/>
      <c r="U13">
        <f t="shared" si="0"/>
        <v>0.18659999999999999</v>
      </c>
      <c r="V13" s="15"/>
      <c r="W13" s="15"/>
      <c r="X13" s="3"/>
      <c r="Y13">
        <v>2.34</v>
      </c>
      <c r="Z13" s="2"/>
      <c r="AA13" s="2"/>
      <c r="AB13" s="3"/>
      <c r="AC13">
        <f t="shared" si="1"/>
        <v>7.0199999999999999E-2</v>
      </c>
      <c r="AD13" s="15"/>
      <c r="AE13" s="15"/>
      <c r="AF13" s="3"/>
      <c r="AG13" s="6">
        <f>U13/AC13</f>
        <v>2.658119658119658</v>
      </c>
      <c r="AH13" s="8"/>
      <c r="AI13" s="8"/>
      <c r="AJ13" s="10"/>
    </row>
    <row r="14" spans="2:36" ht="16.899999999999999" customHeight="1" x14ac:dyDescent="0.3">
      <c r="E14" s="9"/>
      <c r="F14" s="9"/>
      <c r="G14" s="9"/>
      <c r="I14" s="10"/>
      <c r="J14" s="10"/>
      <c r="K14" s="10"/>
      <c r="M14" s="10"/>
      <c r="N14" s="10"/>
      <c r="O14" s="10"/>
      <c r="Q14" t="s">
        <v>6</v>
      </c>
      <c r="R14" s="2"/>
      <c r="S14" s="2"/>
      <c r="V14" s="15"/>
      <c r="W14" s="15"/>
      <c r="X14" s="3"/>
      <c r="Y14" t="s">
        <v>6</v>
      </c>
      <c r="Z14" s="2"/>
      <c r="AA14" s="2"/>
      <c r="AB14" s="3"/>
      <c r="AD14" s="15"/>
      <c r="AE14" s="15"/>
      <c r="AF14" s="3"/>
      <c r="AH14" s="8"/>
      <c r="AI14" s="8"/>
      <c r="AJ14" s="10"/>
    </row>
    <row r="15" spans="2:36" ht="16.899999999999999" customHeight="1" x14ac:dyDescent="0.3">
      <c r="B15">
        <v>25</v>
      </c>
      <c r="C15" t="s">
        <v>0</v>
      </c>
      <c r="D15">
        <v>2</v>
      </c>
      <c r="E15" s="9">
        <v>0.52210000000000001</v>
      </c>
      <c r="F15" s="9">
        <f>AVERAGE(E15:E17)</f>
        <v>0.53783333333333327</v>
      </c>
      <c r="G15" s="9">
        <f>STDEV(E15:E17)</f>
        <v>6.9645842182670184E-2</v>
      </c>
      <c r="I15" s="10">
        <v>1553</v>
      </c>
      <c r="J15" s="11">
        <f>AVERAGE(I15:I17)</f>
        <v>1570</v>
      </c>
      <c r="K15" s="11">
        <f>STDEV(I15:I17)</f>
        <v>55.488737596020329</v>
      </c>
      <c r="M15" s="10">
        <v>5.4</v>
      </c>
      <c r="N15" s="11">
        <f>AVERAGE(M15:M17)</f>
        <v>5.38</v>
      </c>
      <c r="O15" s="11">
        <f>STDEV(M15:M17)</f>
        <v>3.4641016151377831E-2</v>
      </c>
      <c r="Q15">
        <v>13.84</v>
      </c>
      <c r="R15" s="16">
        <f>AVERAGE(Q15:Q17)</f>
        <v>14.253333333333332</v>
      </c>
      <c r="S15" s="16">
        <f>STDEV(Q15:Q17)</f>
        <v>0.60682232435312788</v>
      </c>
      <c r="U15">
        <f>Q15*0.03</f>
        <v>0.41519999999999996</v>
      </c>
      <c r="V15" s="15">
        <f>AVERAGE(U15:U17)</f>
        <v>0.42759999999999998</v>
      </c>
      <c r="W15" s="15">
        <f>STDEV(U15:U17)</f>
        <v>1.8204669730593832E-2</v>
      </c>
      <c r="X15" s="3"/>
      <c r="Y15">
        <v>0.85</v>
      </c>
      <c r="Z15" s="16">
        <f>AVERAGE(Y15:Y17)</f>
        <v>0.89</v>
      </c>
      <c r="AA15" s="16">
        <f>STDEV(Y15:Y17)</f>
        <v>5.2915026221291801E-2</v>
      </c>
      <c r="AB15" s="3"/>
      <c r="AC15">
        <f>Y15*0.03</f>
        <v>2.5499999999999998E-2</v>
      </c>
      <c r="AD15" s="15">
        <f>AVERAGE(AC15:AC17)</f>
        <v>2.6699999999999998E-2</v>
      </c>
      <c r="AE15" s="15">
        <f>STDEV(AC15:AC17)</f>
        <v>1.5874507866387539E-3</v>
      </c>
      <c r="AF15" s="3"/>
      <c r="AG15" s="6">
        <f>U15/AC15</f>
        <v>16.28235294117647</v>
      </c>
      <c r="AH15" s="8">
        <f>AVERAGE(AG15:AG17)</f>
        <v>16.025555436935814</v>
      </c>
      <c r="AI15" s="8">
        <f>STDEV(AG15:AG17)</f>
        <v>0.2741522990150041</v>
      </c>
      <c r="AJ15" s="11"/>
    </row>
    <row r="16" spans="2:36" ht="16.899999999999999" customHeight="1" x14ac:dyDescent="0.3">
      <c r="C16" t="s">
        <v>1</v>
      </c>
      <c r="D16">
        <v>2</v>
      </c>
      <c r="E16" s="9">
        <v>0.61399999999999999</v>
      </c>
      <c r="F16" s="9"/>
      <c r="G16" s="9"/>
      <c r="I16" s="10">
        <v>1525</v>
      </c>
      <c r="J16" s="10"/>
      <c r="K16" s="10"/>
      <c r="M16" s="10">
        <v>5.4</v>
      </c>
      <c r="N16" s="10"/>
      <c r="O16" s="10"/>
      <c r="Q16">
        <v>14.95</v>
      </c>
      <c r="R16" s="2"/>
      <c r="S16" s="2"/>
      <c r="U16">
        <f t="shared" ref="U16:U17" si="2">Q16*0.03</f>
        <v>0.44849999999999995</v>
      </c>
      <c r="V16" s="15"/>
      <c r="W16" s="15"/>
      <c r="X16" s="3"/>
      <c r="Y16">
        <v>0.95</v>
      </c>
      <c r="Z16" s="2"/>
      <c r="AA16" s="2"/>
      <c r="AB16" s="3"/>
      <c r="AC16">
        <f t="shared" ref="AC16:AC17" si="3">Y16*0.03</f>
        <v>2.8499999999999998E-2</v>
      </c>
      <c r="AD16" s="15"/>
      <c r="AE16" s="15"/>
      <c r="AF16" s="3"/>
      <c r="AG16" s="6">
        <f>U16/AC16</f>
        <v>15.736842105263158</v>
      </c>
      <c r="AH16" s="8"/>
      <c r="AI16" s="8"/>
      <c r="AJ16" s="10"/>
    </row>
    <row r="17" spans="2:36" ht="16.899999999999999" customHeight="1" x14ac:dyDescent="0.3">
      <c r="C17" t="s">
        <v>2</v>
      </c>
      <c r="D17">
        <v>2</v>
      </c>
      <c r="E17" s="9">
        <v>0.47739999999999999</v>
      </c>
      <c r="F17" s="9"/>
      <c r="G17" s="9"/>
      <c r="I17" s="10">
        <v>1632</v>
      </c>
      <c r="J17" s="10"/>
      <c r="K17" s="10"/>
      <c r="M17" s="10">
        <v>5.34</v>
      </c>
      <c r="N17" s="10"/>
      <c r="O17" s="10"/>
      <c r="Q17">
        <v>13.97</v>
      </c>
      <c r="R17" s="2"/>
      <c r="S17" s="2"/>
      <c r="U17">
        <f t="shared" si="2"/>
        <v>0.41910000000000003</v>
      </c>
      <c r="V17" s="15"/>
      <c r="W17" s="15"/>
      <c r="X17" s="3"/>
      <c r="Y17">
        <v>0.87</v>
      </c>
      <c r="Z17" s="2"/>
      <c r="AA17" s="2"/>
      <c r="AB17" s="3"/>
      <c r="AC17">
        <f t="shared" si="3"/>
        <v>2.6099999999999998E-2</v>
      </c>
      <c r="AD17" s="15"/>
      <c r="AE17" s="15"/>
      <c r="AF17" s="3"/>
      <c r="AG17" s="6">
        <f>U17/AC17</f>
        <v>16.05747126436782</v>
      </c>
      <c r="AH17" s="8"/>
      <c r="AI17" s="8"/>
      <c r="AJ17" s="10"/>
    </row>
    <row r="18" spans="2:36" ht="16.899999999999999" customHeight="1" x14ac:dyDescent="0.3">
      <c r="E18" s="9"/>
      <c r="F18" s="9"/>
      <c r="G18" s="9"/>
      <c r="I18" s="10"/>
      <c r="J18" s="10"/>
      <c r="K18" s="10"/>
      <c r="M18" s="10"/>
      <c r="N18" s="10"/>
      <c r="O18" s="10"/>
      <c r="Q18" t="s">
        <v>6</v>
      </c>
      <c r="R18" s="2"/>
      <c r="S18" s="2"/>
      <c r="U18" t="s">
        <v>6</v>
      </c>
      <c r="V18" s="15"/>
      <c r="W18" s="15"/>
      <c r="X18" s="3"/>
      <c r="Y18" t="s">
        <v>6</v>
      </c>
      <c r="Z18" s="2"/>
      <c r="AA18" s="2"/>
      <c r="AB18" s="3"/>
      <c r="AC18" t="s">
        <v>6</v>
      </c>
      <c r="AD18" s="15"/>
      <c r="AE18" s="15"/>
      <c r="AF18" s="3"/>
      <c r="AG18" s="6" t="s">
        <v>6</v>
      </c>
      <c r="AH18" s="8"/>
      <c r="AI18" s="8"/>
      <c r="AJ18" s="10"/>
    </row>
    <row r="19" spans="2:36" ht="16.899999999999999" customHeight="1" x14ac:dyDescent="0.3">
      <c r="B19">
        <v>25</v>
      </c>
      <c r="C19" t="s">
        <v>0</v>
      </c>
      <c r="D19">
        <v>3</v>
      </c>
      <c r="E19" s="9">
        <v>1.7789999999999999</v>
      </c>
      <c r="F19" s="9">
        <f>AVERAGE(E19:E21)</f>
        <v>1.8175666666666668</v>
      </c>
      <c r="G19" s="9">
        <f>STDEV(E19:E21)</f>
        <v>3.3567295591592369E-2</v>
      </c>
      <c r="I19" s="10">
        <v>130.30000000000001</v>
      </c>
      <c r="J19" s="11">
        <f>AVERAGE(I19:I21)</f>
        <v>127.83333333333333</v>
      </c>
      <c r="K19" s="11">
        <f>STDEV(I19:I21)</f>
        <v>3.2129944496269132</v>
      </c>
      <c r="M19" s="10">
        <v>6.38</v>
      </c>
      <c r="N19" s="11">
        <f>AVERAGE(M19:M21)</f>
        <v>6.3133333333333335</v>
      </c>
      <c r="O19" s="11">
        <f>STDEV(M19:M21)</f>
        <v>5.7735026918962373E-2</v>
      </c>
      <c r="Q19">
        <v>44.34</v>
      </c>
      <c r="R19" s="16">
        <f>AVERAGE(Q19:Q21)</f>
        <v>45.763333333333328</v>
      </c>
      <c r="S19" s="16">
        <f>STDEV(Q19:Q21)</f>
        <v>1.6823891741607602</v>
      </c>
      <c r="U19">
        <f>Q19*0.03</f>
        <v>1.3302</v>
      </c>
      <c r="V19" s="15">
        <f>AVERAGE(U19:U21)</f>
        <v>1.3729000000000002</v>
      </c>
      <c r="W19" s="15">
        <f>STDEV(U19:U21)</f>
        <v>5.0471675224822807E-2</v>
      </c>
      <c r="X19" s="3"/>
      <c r="Y19">
        <v>2.79</v>
      </c>
      <c r="Z19" s="16">
        <f>AVERAGE(Y19:Y21)</f>
        <v>2.86</v>
      </c>
      <c r="AA19" s="16">
        <f>STDEV(Y19:Y21)</f>
        <v>0.10440306508910546</v>
      </c>
      <c r="AB19" s="3"/>
      <c r="AC19">
        <f>Y19*0.03</f>
        <v>8.3699999999999997E-2</v>
      </c>
      <c r="AD19" s="15">
        <f>AVERAGE(AC19:AC21)</f>
        <v>8.5799999999999987E-2</v>
      </c>
      <c r="AE19" s="15">
        <f>STDEV(AC19:AC21)</f>
        <v>3.1320919526731626E-3</v>
      </c>
      <c r="AF19" s="3"/>
      <c r="AG19" s="6">
        <f>U19/AC19</f>
        <v>15.892473118279572</v>
      </c>
      <c r="AH19" s="8">
        <f>AVERAGE(AG19:AG21)</f>
        <v>16.001337162652138</v>
      </c>
      <c r="AI19" s="8">
        <f>STDEV(AG19:AG21)</f>
        <v>0.12103661936336475</v>
      </c>
      <c r="AJ19" s="11"/>
    </row>
    <row r="20" spans="2:36" ht="16.899999999999999" customHeight="1" x14ac:dyDescent="0.3">
      <c r="C20" t="s">
        <v>1</v>
      </c>
      <c r="D20">
        <v>3</v>
      </c>
      <c r="E20" s="9">
        <v>1.8402000000000001</v>
      </c>
      <c r="F20" s="9"/>
      <c r="G20" s="9"/>
      <c r="I20" s="10">
        <v>124.2</v>
      </c>
      <c r="J20" s="10"/>
      <c r="K20" s="10"/>
      <c r="M20" s="10">
        <v>6.28</v>
      </c>
      <c r="N20" s="10"/>
      <c r="O20" s="10"/>
      <c r="Q20">
        <v>45.33</v>
      </c>
      <c r="R20" s="2"/>
      <c r="S20" s="2"/>
      <c r="U20">
        <f t="shared" ref="U20:U21" si="4">Q20*0.03</f>
        <v>1.3598999999999999</v>
      </c>
      <c r="V20" s="15"/>
      <c r="W20" s="15"/>
      <c r="X20" s="3"/>
      <c r="Y20">
        <v>2.81</v>
      </c>
      <c r="Z20" s="2"/>
      <c r="AA20" s="2"/>
      <c r="AB20" s="3"/>
      <c r="AC20">
        <f t="shared" ref="AC20:AC21" si="5">Y20*0.03</f>
        <v>8.43E-2</v>
      </c>
      <c r="AD20" s="15"/>
      <c r="AE20" s="15"/>
      <c r="AF20" s="3"/>
      <c r="AG20" s="6">
        <f>U20/AC20</f>
        <v>16.131672597864767</v>
      </c>
      <c r="AH20" s="8"/>
      <c r="AI20" s="8"/>
      <c r="AJ20" s="10"/>
    </row>
    <row r="21" spans="2:36" ht="16.899999999999999" customHeight="1" x14ac:dyDescent="0.3">
      <c r="C21" t="s">
        <v>2</v>
      </c>
      <c r="D21">
        <v>3</v>
      </c>
      <c r="E21" s="9">
        <v>1.8334999999999999</v>
      </c>
      <c r="F21" s="9"/>
      <c r="G21" s="9"/>
      <c r="I21" s="10">
        <v>129</v>
      </c>
      <c r="J21" s="10"/>
      <c r="K21" s="10"/>
      <c r="M21" s="10">
        <v>6.28</v>
      </c>
      <c r="N21" s="10"/>
      <c r="O21" s="10"/>
      <c r="Q21">
        <v>47.62</v>
      </c>
      <c r="R21" s="2"/>
      <c r="S21" s="2"/>
      <c r="U21">
        <f t="shared" si="4"/>
        <v>1.4285999999999999</v>
      </c>
      <c r="V21" s="15"/>
      <c r="W21" s="15"/>
      <c r="X21" s="3"/>
      <c r="Y21">
        <v>2.98</v>
      </c>
      <c r="Z21" s="2"/>
      <c r="AA21" s="2"/>
      <c r="AB21" s="3"/>
      <c r="AC21">
        <f t="shared" si="5"/>
        <v>8.9399999999999993E-2</v>
      </c>
      <c r="AD21" s="15"/>
      <c r="AE21" s="15"/>
      <c r="AF21" s="3"/>
      <c r="AG21" s="6">
        <f>U21/AC21</f>
        <v>15.979865771812081</v>
      </c>
      <c r="AH21" s="8"/>
      <c r="AI21" s="8"/>
      <c r="AJ21" s="10"/>
    </row>
    <row r="22" spans="2:36" ht="16.899999999999999" customHeight="1" x14ac:dyDescent="0.3">
      <c r="E22" s="9"/>
      <c r="F22" s="9"/>
      <c r="G22" s="9"/>
      <c r="I22" s="10"/>
      <c r="J22" s="10"/>
      <c r="K22" s="10"/>
      <c r="M22" s="10"/>
      <c r="N22" s="10"/>
      <c r="O22" s="10"/>
      <c r="Q22" t="s">
        <v>6</v>
      </c>
      <c r="R22" s="2"/>
      <c r="S22" s="2"/>
      <c r="U22" t="s">
        <v>6</v>
      </c>
      <c r="V22" s="15"/>
      <c r="W22" s="15"/>
      <c r="X22" s="3"/>
      <c r="Y22" t="s">
        <v>6</v>
      </c>
      <c r="Z22" s="2"/>
      <c r="AA22" s="2"/>
      <c r="AB22" s="3"/>
      <c r="AC22" t="s">
        <v>6</v>
      </c>
      <c r="AD22" s="15"/>
      <c r="AE22" s="15"/>
      <c r="AF22" s="3"/>
      <c r="AG22" s="6" t="s">
        <v>6</v>
      </c>
      <c r="AH22" s="8"/>
      <c r="AI22" s="8"/>
      <c r="AJ22" s="10"/>
    </row>
    <row r="23" spans="2:36" ht="16.899999999999999" customHeight="1" x14ac:dyDescent="0.3">
      <c r="B23">
        <v>25</v>
      </c>
      <c r="C23" t="s">
        <v>0</v>
      </c>
      <c r="D23">
        <v>4</v>
      </c>
      <c r="E23" s="9">
        <v>1.2766999999999999</v>
      </c>
      <c r="F23" s="9">
        <f>AVERAGE(E23:E25)</f>
        <v>1.3028999999999999</v>
      </c>
      <c r="G23" s="9">
        <f>STDEV(E23:E25)</f>
        <v>3.5575131763635096E-2</v>
      </c>
      <c r="I23" s="10">
        <v>34.81</v>
      </c>
      <c r="J23" s="12">
        <f>AVERAGE(I23:I25)</f>
        <v>34.806666666666665</v>
      </c>
      <c r="K23" s="12">
        <f>STDEV(I23:I25)</f>
        <v>0.60500688701313932</v>
      </c>
      <c r="M23" s="10">
        <v>6.63</v>
      </c>
      <c r="N23" s="12">
        <f>AVERAGE(M23:M25)</f>
        <v>6.66</v>
      </c>
      <c r="O23" s="12">
        <f>STDEV(M23:M25)</f>
        <v>4.3588989435406823E-2</v>
      </c>
      <c r="Q23">
        <v>29.77</v>
      </c>
      <c r="R23" s="15">
        <f>AVERAGE(Q23:Q25)</f>
        <v>30.526666666666671</v>
      </c>
      <c r="S23" s="15">
        <f>STDEV(Q23:Q25)</f>
        <v>0.85873938615469025</v>
      </c>
      <c r="U23">
        <f>Q23*0.03</f>
        <v>0.8931</v>
      </c>
      <c r="V23" s="15">
        <f>AVERAGE(U23:U25)</f>
        <v>0.91579999999999995</v>
      </c>
      <c r="W23" s="15">
        <f>STDEV(U23:U25)</f>
        <v>2.5762181584640678E-2</v>
      </c>
      <c r="X23" s="3"/>
      <c r="Y23">
        <v>2.0299999999999998</v>
      </c>
      <c r="Z23" s="15">
        <f>AVERAGE(Y23:Y25)</f>
        <v>2.0933333333333333</v>
      </c>
      <c r="AA23" s="15">
        <f>STDEV(Y23:Y25)</f>
        <v>6.0277137733417148E-2</v>
      </c>
      <c r="AB23" s="3"/>
      <c r="AC23">
        <f>Y23*0.03</f>
        <v>6.0899999999999989E-2</v>
      </c>
      <c r="AD23" s="15">
        <f>AVERAGE(AC23:AC25)</f>
        <v>6.2799999999999995E-2</v>
      </c>
      <c r="AE23" s="15">
        <f>STDEV(AC23:AC25)</f>
        <v>1.808314132002519E-3</v>
      </c>
      <c r="AF23" s="3"/>
      <c r="AG23" s="6">
        <f>U23/AC23</f>
        <v>14.665024630541875</v>
      </c>
      <c r="AH23" s="8">
        <f>AVERAGE(AG23:AG25)</f>
        <v>14.583321240819236</v>
      </c>
      <c r="AI23" s="8">
        <f>STDEV(AG23:AG25)</f>
        <v>0.11455364512665064</v>
      </c>
      <c r="AJ23" s="12"/>
    </row>
    <row r="24" spans="2:36" ht="16.899999999999999" customHeight="1" x14ac:dyDescent="0.3">
      <c r="C24" t="s">
        <v>1</v>
      </c>
      <c r="D24">
        <v>4</v>
      </c>
      <c r="E24" s="9">
        <v>1.2886</v>
      </c>
      <c r="F24" s="9"/>
      <c r="G24" s="9"/>
      <c r="I24" s="10">
        <v>35.409999999999997</v>
      </c>
      <c r="J24" s="12"/>
      <c r="K24" s="12"/>
      <c r="M24" s="10">
        <v>6.64</v>
      </c>
      <c r="N24" s="12"/>
      <c r="O24" s="12"/>
      <c r="Q24">
        <v>30.35</v>
      </c>
      <c r="R24" s="15"/>
      <c r="S24" s="15"/>
      <c r="U24">
        <f t="shared" ref="U24:U25" si="6">Q24*0.03</f>
        <v>0.91049999999999998</v>
      </c>
      <c r="V24" s="15"/>
      <c r="W24" s="15"/>
      <c r="X24" s="3"/>
      <c r="Y24">
        <v>2.1</v>
      </c>
      <c r="Z24" s="15"/>
      <c r="AA24" s="15"/>
      <c r="AB24" s="3"/>
      <c r="AC24">
        <f t="shared" ref="AC24:AC25" si="7">Y24*0.03</f>
        <v>6.3E-2</v>
      </c>
      <c r="AD24" s="15"/>
      <c r="AE24" s="15"/>
      <c r="AF24" s="3"/>
      <c r="AG24" s="6">
        <f>U24/AC24</f>
        <v>14.452380952380953</v>
      </c>
      <c r="AH24" s="8"/>
      <c r="AI24" s="8"/>
      <c r="AJ24" s="12"/>
    </row>
    <row r="25" spans="2:36" ht="16.899999999999999" customHeight="1" x14ac:dyDescent="0.3">
      <c r="C25" t="s">
        <v>2</v>
      </c>
      <c r="D25">
        <v>4</v>
      </c>
      <c r="E25" s="9">
        <v>1.3433999999999999</v>
      </c>
      <c r="F25" s="9"/>
      <c r="G25" s="9"/>
      <c r="I25" s="10">
        <v>34.200000000000003</v>
      </c>
      <c r="J25" s="12"/>
      <c r="K25" s="12"/>
      <c r="M25" s="10">
        <v>6.71</v>
      </c>
      <c r="N25" s="12"/>
      <c r="O25" s="12"/>
      <c r="Q25">
        <v>31.46</v>
      </c>
      <c r="R25" s="15"/>
      <c r="S25" s="15"/>
      <c r="U25">
        <f t="shared" si="6"/>
        <v>0.94379999999999997</v>
      </c>
      <c r="V25" s="15"/>
      <c r="W25" s="15"/>
      <c r="X25" s="3"/>
      <c r="Y25">
        <v>2.15</v>
      </c>
      <c r="Z25" s="15"/>
      <c r="AA25" s="15"/>
      <c r="AB25" s="3"/>
      <c r="AC25">
        <f t="shared" si="7"/>
        <v>6.4500000000000002E-2</v>
      </c>
      <c r="AD25" s="15"/>
      <c r="AE25" s="15"/>
      <c r="AF25" s="3"/>
      <c r="AG25" s="6">
        <f>U25/AC25</f>
        <v>14.632558139534883</v>
      </c>
      <c r="AH25" s="8"/>
      <c r="AI25" s="8"/>
      <c r="AJ25" s="12"/>
    </row>
    <row r="26" spans="2:36" ht="16.899999999999999" customHeight="1" x14ac:dyDescent="0.3">
      <c r="E26" s="9"/>
      <c r="F26" s="9"/>
      <c r="G26" s="9"/>
      <c r="I26" s="10"/>
      <c r="J26" s="12"/>
      <c r="K26" s="12"/>
      <c r="M26" s="10"/>
      <c r="N26" s="12"/>
      <c r="O26" s="12"/>
      <c r="Q26" t="s">
        <v>6</v>
      </c>
      <c r="R26" s="15"/>
      <c r="S26" s="15"/>
      <c r="U26" t="s">
        <v>6</v>
      </c>
      <c r="V26" s="15"/>
      <c r="W26" s="15"/>
      <c r="X26" s="3"/>
      <c r="Y26" t="s">
        <v>6</v>
      </c>
      <c r="Z26" s="15"/>
      <c r="AA26" s="15"/>
      <c r="AB26" s="3"/>
      <c r="AC26" t="s">
        <v>6</v>
      </c>
      <c r="AD26" s="15"/>
      <c r="AE26" s="15"/>
      <c r="AF26" s="3"/>
      <c r="AG26" s="6" t="s">
        <v>6</v>
      </c>
      <c r="AH26" s="8"/>
      <c r="AI26" s="8"/>
      <c r="AJ26" s="12"/>
    </row>
    <row r="27" spans="2:36" ht="16.899999999999999" customHeight="1" x14ac:dyDescent="0.3">
      <c r="B27">
        <v>25</v>
      </c>
      <c r="C27" t="s">
        <v>0</v>
      </c>
      <c r="D27">
        <v>5</v>
      </c>
      <c r="E27" s="9">
        <v>0.99129999999999996</v>
      </c>
      <c r="F27" s="9">
        <f>AVERAGE(E27:E29)</f>
        <v>1.0171333333333334</v>
      </c>
      <c r="G27" s="9">
        <f>STDEV(E27:E29)</f>
        <v>2.2517178627291089E-2</v>
      </c>
      <c r="I27" s="10">
        <v>24.78</v>
      </c>
      <c r="J27" s="12">
        <f>AVERAGE(I27:I29)</f>
        <v>25.66</v>
      </c>
      <c r="K27" s="12">
        <f>STDEV(I27:I29)</f>
        <v>0.77149206087943545</v>
      </c>
      <c r="M27" s="10">
        <v>6.82</v>
      </c>
      <c r="N27" s="12">
        <f>AVERAGE(M27:M29)</f>
        <v>6.8033333333333337</v>
      </c>
      <c r="O27" s="12">
        <f>STDEV(M27:M29)</f>
        <v>1.5275252316519626E-2</v>
      </c>
      <c r="Q27">
        <v>21.98</v>
      </c>
      <c r="R27" s="15">
        <f>AVERAGE(Q27:Q29)</f>
        <v>22.586666666666662</v>
      </c>
      <c r="S27" s="15">
        <f>STDEV(Q27:Q29)</f>
        <v>0.53482084227648818</v>
      </c>
      <c r="U27">
        <f>Q27*0.03</f>
        <v>0.65939999999999999</v>
      </c>
      <c r="V27" s="15">
        <f>AVERAGE(U27:U29)</f>
        <v>0.67759999999999998</v>
      </c>
      <c r="W27" s="15">
        <f>STDEV(U27:U29)</f>
        <v>1.6044625268294671E-2</v>
      </c>
      <c r="X27" s="3"/>
      <c r="Y27">
        <v>1.58</v>
      </c>
      <c r="Z27" s="15">
        <f>AVERAGE(Y27:Y29)</f>
        <v>1.5966666666666667</v>
      </c>
      <c r="AA27" s="15">
        <f>STDEV(Y27:Y29)</f>
        <v>2.0816659994661344E-2</v>
      </c>
      <c r="AB27" s="3"/>
      <c r="AC27">
        <f>Y27*0.03</f>
        <v>4.7399999999999998E-2</v>
      </c>
      <c r="AD27" s="15">
        <f>AVERAGE(AC27:AC29)</f>
        <v>4.7899999999999998E-2</v>
      </c>
      <c r="AE27" s="15">
        <f>STDEV(AC27:AC29)</f>
        <v>6.2449979983984327E-4</v>
      </c>
      <c r="AF27" s="3"/>
      <c r="AG27" s="6">
        <f>U27/AC27</f>
        <v>13.911392405063291</v>
      </c>
      <c r="AH27" s="8">
        <f>AVERAGE(AG27:AG29)</f>
        <v>14.146137712162179</v>
      </c>
      <c r="AI27" s="8">
        <f>STDEV(AG27:AG29)</f>
        <v>0.28212045581721928</v>
      </c>
      <c r="AJ27" s="12"/>
    </row>
    <row r="28" spans="2:36" ht="16.899999999999999" customHeight="1" x14ac:dyDescent="0.3">
      <c r="C28" t="s">
        <v>1</v>
      </c>
      <c r="D28">
        <v>5</v>
      </c>
      <c r="E28" s="9">
        <v>1.0275000000000001</v>
      </c>
      <c r="F28" s="9"/>
      <c r="G28" s="9"/>
      <c r="I28" s="10">
        <v>26.22</v>
      </c>
      <c r="J28" s="12"/>
      <c r="K28" s="12"/>
      <c r="M28" s="10">
        <v>6.8</v>
      </c>
      <c r="N28" s="12"/>
      <c r="O28" s="12"/>
      <c r="Q28">
        <v>22.79</v>
      </c>
      <c r="R28" s="15"/>
      <c r="S28" s="15"/>
      <c r="U28">
        <f t="shared" ref="U28:U29" si="8">Q28*0.03</f>
        <v>0.68369999999999997</v>
      </c>
      <c r="V28" s="15"/>
      <c r="W28" s="15"/>
      <c r="X28" s="3"/>
      <c r="Y28">
        <v>1.62</v>
      </c>
      <c r="Z28" s="15"/>
      <c r="AA28" s="15"/>
      <c r="AB28" s="3"/>
      <c r="AC28">
        <f t="shared" ref="AC28:AC29" si="9">Y28*0.03</f>
        <v>4.8600000000000004E-2</v>
      </c>
      <c r="AD28" s="15"/>
      <c r="AE28" s="15"/>
      <c r="AF28" s="3"/>
      <c r="AG28" s="6">
        <f>U28/AC28</f>
        <v>14.0679012345679</v>
      </c>
      <c r="AH28" s="8"/>
      <c r="AI28" s="8"/>
      <c r="AJ28" s="12"/>
    </row>
    <row r="29" spans="2:36" ht="16.899999999999999" customHeight="1" x14ac:dyDescent="0.3">
      <c r="C29" t="s">
        <v>2</v>
      </c>
      <c r="D29">
        <v>5</v>
      </c>
      <c r="E29" s="9">
        <v>1.0326</v>
      </c>
      <c r="F29" s="9"/>
      <c r="G29" s="9"/>
      <c r="I29" s="10">
        <v>25.98</v>
      </c>
      <c r="J29" s="12"/>
      <c r="K29" s="12"/>
      <c r="M29" s="10">
        <v>6.79</v>
      </c>
      <c r="N29" s="12"/>
      <c r="O29" s="12"/>
      <c r="Q29">
        <v>22.99</v>
      </c>
      <c r="R29" s="15"/>
      <c r="S29" s="15"/>
      <c r="U29">
        <f t="shared" si="8"/>
        <v>0.68969999999999998</v>
      </c>
      <c r="V29" s="15"/>
      <c r="W29" s="15"/>
      <c r="X29" s="3"/>
      <c r="Y29">
        <v>1.59</v>
      </c>
      <c r="Z29" s="15"/>
      <c r="AA29" s="15"/>
      <c r="AB29" s="3"/>
      <c r="AC29">
        <f t="shared" si="9"/>
        <v>4.7699999999999999E-2</v>
      </c>
      <c r="AD29" s="15"/>
      <c r="AE29" s="15"/>
      <c r="AF29" s="3"/>
      <c r="AG29" s="6">
        <f>U29/AC29</f>
        <v>14.459119496855346</v>
      </c>
      <c r="AH29" s="8"/>
      <c r="AI29" s="8"/>
      <c r="AJ29" s="12"/>
    </row>
    <row r="30" spans="2:36" ht="16.899999999999999" customHeight="1" x14ac:dyDescent="0.3">
      <c r="E30" s="9"/>
      <c r="F30" s="9"/>
      <c r="G30" s="9"/>
      <c r="I30" s="10"/>
      <c r="J30" s="12"/>
      <c r="K30" s="12"/>
      <c r="M30" s="10"/>
      <c r="N30" s="12"/>
      <c r="O30" s="12"/>
      <c r="Q30" t="s">
        <v>6</v>
      </c>
      <c r="R30" s="15"/>
      <c r="S30" s="15"/>
      <c r="U30" t="s">
        <v>6</v>
      </c>
      <c r="V30" s="15"/>
      <c r="W30" s="15"/>
      <c r="X30" s="3"/>
      <c r="Y30" t="s">
        <v>6</v>
      </c>
      <c r="Z30" s="15"/>
      <c r="AA30" s="15"/>
      <c r="AB30" s="3"/>
      <c r="AC30" t="s">
        <v>6</v>
      </c>
      <c r="AD30" s="15"/>
      <c r="AE30" s="15"/>
      <c r="AF30" s="3"/>
      <c r="AG30" s="6" t="s">
        <v>6</v>
      </c>
      <c r="AH30" s="8"/>
      <c r="AI30" s="8"/>
      <c r="AJ30" s="12"/>
    </row>
    <row r="31" spans="2:36" ht="16.899999999999999" customHeight="1" x14ac:dyDescent="0.3">
      <c r="B31">
        <v>25</v>
      </c>
      <c r="C31" t="s">
        <v>0</v>
      </c>
      <c r="D31">
        <v>6</v>
      </c>
      <c r="E31" s="9">
        <v>0.73429999999999995</v>
      </c>
      <c r="F31" s="9">
        <f>AVERAGE(E31:E33)</f>
        <v>0.7452333333333333</v>
      </c>
      <c r="G31" s="9">
        <f>STDEV(E31:E33)</f>
        <v>1.6407721759383119E-2</v>
      </c>
      <c r="I31" s="10">
        <v>26.35</v>
      </c>
      <c r="J31" s="12">
        <f>AVERAGE(I31:I33)</f>
        <v>22.919999999999998</v>
      </c>
      <c r="K31" s="12">
        <f>STDEV(I31:I33)</f>
        <v>2.9916049204399213</v>
      </c>
      <c r="M31" s="10">
        <v>7.27</v>
      </c>
      <c r="N31" s="12">
        <f>AVERAGE(M31:M33)</f>
        <v>7.0566666666666675</v>
      </c>
      <c r="O31" s="12">
        <f>STDEV(M31:M33)</f>
        <v>0.20132891827388635</v>
      </c>
      <c r="Q31">
        <v>15.46</v>
      </c>
      <c r="R31" s="15">
        <f>AVERAGE(Q31:Q33)</f>
        <v>15.916666666666666</v>
      </c>
      <c r="S31" s="15">
        <f>STDEV(Q31:Q33)</f>
        <v>0.58054572027819906</v>
      </c>
      <c r="U31">
        <f>Q31*0.03</f>
        <v>0.46379999999999999</v>
      </c>
      <c r="V31" s="15">
        <f>AVERAGE(U31:U33)</f>
        <v>0.47750000000000004</v>
      </c>
      <c r="W31" s="15">
        <f>STDEV(U31:U33)</f>
        <v>1.7416371608345974E-2</v>
      </c>
      <c r="X31" s="3"/>
      <c r="Y31">
        <v>1.07</v>
      </c>
      <c r="Z31" s="15">
        <f>AVERAGE(Y31:Y33)</f>
        <v>1.0999999999999999</v>
      </c>
      <c r="AA31" s="15">
        <f>STDEV(Y31:Y33)</f>
        <v>4.3588989435406643E-2</v>
      </c>
      <c r="AB31" s="3"/>
      <c r="AC31">
        <f>Y31*0.03</f>
        <v>3.2100000000000004E-2</v>
      </c>
      <c r="AD31" s="15">
        <f>AVERAGE(AC31:AC33)</f>
        <v>3.2999999999999995E-2</v>
      </c>
      <c r="AE31" s="15">
        <f>STDEV(AC31:AC33)</f>
        <v>1.3076696830621988E-3</v>
      </c>
      <c r="AF31" s="3"/>
      <c r="AG31" s="6">
        <f>U31/AC31</f>
        <v>14.44859813084112</v>
      </c>
      <c r="AH31" s="8">
        <f>AVERAGE(AG31:AG33)</f>
        <v>14.470949779523531</v>
      </c>
      <c r="AI31" s="8">
        <f>STDEV(AG31:AG33)</f>
        <v>7.5938494549423183E-2</v>
      </c>
      <c r="AJ31" s="12"/>
    </row>
    <row r="32" spans="2:36" ht="16.899999999999999" customHeight="1" x14ac:dyDescent="0.3">
      <c r="C32" t="s">
        <v>1</v>
      </c>
      <c r="D32">
        <v>6</v>
      </c>
      <c r="E32" s="9">
        <v>0.7641</v>
      </c>
      <c r="F32" s="9"/>
      <c r="G32" s="9"/>
      <c r="I32" s="10">
        <v>21.56</v>
      </c>
      <c r="J32" s="10"/>
      <c r="K32" s="10"/>
      <c r="M32" s="10">
        <v>7.03</v>
      </c>
      <c r="N32" s="10"/>
      <c r="O32" s="10"/>
      <c r="Q32">
        <v>16.57</v>
      </c>
      <c r="U32">
        <f t="shared" ref="U32:U33" si="10">Q32*0.03</f>
        <v>0.49709999999999999</v>
      </c>
      <c r="X32" s="3"/>
      <c r="Y32">
        <v>1.1499999999999999</v>
      </c>
      <c r="AB32" s="3"/>
      <c r="AC32">
        <f t="shared" ref="AC32:AC33" si="11">Y32*0.03</f>
        <v>3.4499999999999996E-2</v>
      </c>
      <c r="AF32" s="3"/>
      <c r="AG32" s="6">
        <f>U32/AC32</f>
        <v>14.408695652173915</v>
      </c>
      <c r="AJ32" s="10"/>
    </row>
    <row r="33" spans="3:36" ht="16.899999999999999" customHeight="1" x14ac:dyDescent="0.3">
      <c r="C33" t="s">
        <v>2</v>
      </c>
      <c r="D33">
        <v>6</v>
      </c>
      <c r="E33" s="9">
        <v>0.73729999999999996</v>
      </c>
      <c r="F33" s="9"/>
      <c r="G33" s="9"/>
      <c r="I33" s="10">
        <v>20.85</v>
      </c>
      <c r="J33" s="10"/>
      <c r="K33" s="10"/>
      <c r="M33" s="10">
        <v>6.87</v>
      </c>
      <c r="N33" s="10"/>
      <c r="O33" s="10"/>
      <c r="Q33">
        <v>15.72</v>
      </c>
      <c r="U33">
        <f t="shared" si="10"/>
        <v>0.47160000000000002</v>
      </c>
      <c r="X33" s="3"/>
      <c r="Y33">
        <v>1.08</v>
      </c>
      <c r="AB33" s="3"/>
      <c r="AC33">
        <f t="shared" si="11"/>
        <v>3.2399999999999998E-2</v>
      </c>
      <c r="AF33" s="3"/>
      <c r="AG33" s="6">
        <f>U33/AC33</f>
        <v>14.555555555555557</v>
      </c>
      <c r="AJ33" s="10"/>
    </row>
    <row r="34" spans="3:36" x14ac:dyDescent="0.25">
      <c r="I34" s="10"/>
      <c r="J34" s="10"/>
      <c r="K34" s="10"/>
      <c r="M34" s="10"/>
      <c r="N34" s="10"/>
      <c r="O34" s="10"/>
      <c r="U34" s="17" t="s">
        <v>23</v>
      </c>
      <c r="V34" s="18">
        <f>SUM(V11:V33)</f>
        <v>4.0456000000000003</v>
      </c>
      <c r="Z34" s="14"/>
      <c r="AA34" s="14"/>
      <c r="AC34" s="19" t="s">
        <v>24</v>
      </c>
      <c r="AD34" s="20">
        <f>SUM(AD11:AD33)</f>
        <v>0.3259999999999999</v>
      </c>
      <c r="AH34" s="21">
        <f>V34/AD34</f>
        <v>12.409815950920249</v>
      </c>
      <c r="AJ34" s="10"/>
    </row>
    <row r="35" spans="3:36" x14ac:dyDescent="0.25">
      <c r="U35" s="22" t="s">
        <v>25</v>
      </c>
      <c r="V35" s="14">
        <f>(U11+U15+U19+U23+U27+U31)</f>
        <v>3.9378000000000002</v>
      </c>
      <c r="Z35" s="14"/>
      <c r="AA35" s="14"/>
      <c r="AC35" s="22" t="s">
        <v>25</v>
      </c>
      <c r="AD35" s="14">
        <f>(AC11+AC15+AC19+AC23+AC27+AC31)</f>
        <v>0.31889999999999996</v>
      </c>
    </row>
    <row r="36" spans="3:36" x14ac:dyDescent="0.25">
      <c r="E36"/>
      <c r="F36"/>
      <c r="G36"/>
      <c r="U36" s="22" t="s">
        <v>26</v>
      </c>
      <c r="V36" s="14">
        <f>(U12+U16+U20+U24+U28+U32)</f>
        <v>4.0595999999999997</v>
      </c>
      <c r="Z36" s="14"/>
      <c r="AA36" s="14"/>
      <c r="AC36" s="22" t="s">
        <v>26</v>
      </c>
      <c r="AD36" s="14">
        <f>(AC12+AC16+AC20+AC24+AC28+AC32)</f>
        <v>0.32879999999999998</v>
      </c>
    </row>
    <row r="37" spans="3:36" x14ac:dyDescent="0.25">
      <c r="E37"/>
      <c r="F37"/>
      <c r="G37"/>
      <c r="U37" s="22" t="s">
        <v>27</v>
      </c>
      <c r="V37" s="14">
        <f>(U13+U17+U21+U25+U29+U33)</f>
        <v>4.1394000000000002</v>
      </c>
      <c r="Z37" s="14"/>
      <c r="AA37" s="14"/>
      <c r="AC37" s="22" t="s">
        <v>27</v>
      </c>
      <c r="AD37" s="14">
        <f>(AC13+AC17+AC21+AC25+AC29+AC33)</f>
        <v>0.33029999999999998</v>
      </c>
    </row>
    <row r="38" spans="3:36" x14ac:dyDescent="0.25">
      <c r="E38"/>
      <c r="F38"/>
      <c r="G38"/>
      <c r="U38" s="23" t="s">
        <v>4</v>
      </c>
      <c r="V38" s="24">
        <f>AVERAGE(V35:V37)</f>
        <v>4.0456000000000003</v>
      </c>
      <c r="Z38" s="14"/>
      <c r="AA38" s="14"/>
      <c r="AC38" s="23" t="s">
        <v>4</v>
      </c>
      <c r="AD38" s="24">
        <f>AVERAGE(AD35:AD37)</f>
        <v>0.32600000000000001</v>
      </c>
      <c r="AH38" s="25">
        <f>V38/AD38</f>
        <v>12.409815950920246</v>
      </c>
    </row>
    <row r="39" spans="3:36" x14ac:dyDescent="0.25">
      <c r="E39"/>
      <c r="F39"/>
      <c r="G39"/>
      <c r="U39" s="23" t="s">
        <v>28</v>
      </c>
      <c r="V39" s="24">
        <f>STDEV(V35:V37)</f>
        <v>0.10152654825216896</v>
      </c>
      <c r="Z39" s="14"/>
      <c r="AA39" s="14"/>
      <c r="AC39" s="23" t="s">
        <v>28</v>
      </c>
      <c r="AD39" s="24">
        <f>STDEV(AD35:AD37)</f>
        <v>6.1943522663794439E-3</v>
      </c>
    </row>
    <row r="40" spans="3:36" x14ac:dyDescent="0.25">
      <c r="E40"/>
      <c r="F40"/>
      <c r="G40"/>
      <c r="Z40" s="14"/>
      <c r="AA40" s="14"/>
    </row>
    <row r="41" spans="3:36" x14ac:dyDescent="0.25">
      <c r="E41"/>
      <c r="F41"/>
      <c r="G41"/>
    </row>
    <row r="42" spans="3:36" x14ac:dyDescent="0.25">
      <c r="E42"/>
      <c r="F42"/>
      <c r="G42"/>
    </row>
    <row r="43" spans="3:36" x14ac:dyDescent="0.25">
      <c r="E43"/>
      <c r="F43"/>
      <c r="G43"/>
    </row>
    <row r="44" spans="3:36" x14ac:dyDescent="0.25">
      <c r="E44"/>
      <c r="F44"/>
      <c r="G44"/>
    </row>
    <row r="45" spans="3:36" x14ac:dyDescent="0.25">
      <c r="E45"/>
      <c r="F45"/>
      <c r="G45"/>
    </row>
    <row r="46" spans="3:36" x14ac:dyDescent="0.25">
      <c r="E46"/>
      <c r="F46"/>
      <c r="G46"/>
    </row>
    <row r="47" spans="3:36" x14ac:dyDescent="0.25">
      <c r="E47"/>
      <c r="F47"/>
      <c r="G47"/>
    </row>
    <row r="48" spans="3:36" x14ac:dyDescent="0.25">
      <c r="E48"/>
      <c r="F48"/>
      <c r="G48"/>
    </row>
    <row r="49" spans="5:7" x14ac:dyDescent="0.25">
      <c r="E49"/>
      <c r="F49"/>
      <c r="G49"/>
    </row>
    <row r="50" spans="5:7" x14ac:dyDescent="0.25">
      <c r="E50"/>
      <c r="F50"/>
      <c r="G50"/>
    </row>
    <row r="51" spans="5:7" x14ac:dyDescent="0.25">
      <c r="E51"/>
      <c r="F51"/>
      <c r="G51"/>
    </row>
    <row r="52" spans="5:7" x14ac:dyDescent="0.25">
      <c r="E52"/>
      <c r="F52"/>
      <c r="G52"/>
    </row>
    <row r="53" spans="5:7" x14ac:dyDescent="0.25">
      <c r="E53"/>
      <c r="F53"/>
      <c r="G53"/>
    </row>
    <row r="54" spans="5:7" x14ac:dyDescent="0.25">
      <c r="E54"/>
      <c r="F54"/>
      <c r="G54"/>
    </row>
    <row r="55" spans="5:7" x14ac:dyDescent="0.25">
      <c r="E55"/>
      <c r="F55"/>
      <c r="G55"/>
    </row>
  </sheetData>
  <printOptions gridLines="1"/>
  <pageMargins left="0.25" right="0.25" top="0.75" bottom="0.75" header="0.3" footer="0.3"/>
  <pageSetup paperSize="17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28CB-9D10-4208-8CF0-1A45512D2C89}">
  <sheetPr>
    <pageSetUpPr fitToPage="1"/>
  </sheetPr>
  <dimension ref="B6:AK54"/>
  <sheetViews>
    <sheetView workbookViewId="0">
      <selection activeCell="A3" sqref="A3"/>
    </sheetView>
  </sheetViews>
  <sheetFormatPr defaultRowHeight="15" x14ac:dyDescent="0.25"/>
  <cols>
    <col min="1" max="1" width="8.85546875"/>
    <col min="2" max="2" width="7.42578125" customWidth="1"/>
    <col min="3" max="4" width="3.42578125" customWidth="1"/>
    <col min="5" max="5" width="9" style="5" customWidth="1"/>
    <col min="6" max="6" width="15.7109375" style="5" customWidth="1"/>
    <col min="7" max="7" width="9" style="5" customWidth="1"/>
    <col min="8" max="8" width="2.5703125" style="7" customWidth="1"/>
    <col min="9" max="9" width="13.28515625" style="7" customWidth="1"/>
    <col min="10" max="11" width="8.5703125" style="7" customWidth="1"/>
    <col min="12" max="12" width="2.5703125" style="7" customWidth="1"/>
    <col min="13" max="13" width="10.28515625" style="7" customWidth="1"/>
    <col min="14" max="15" width="8.28515625" style="7" customWidth="1"/>
    <col min="16" max="16" width="2" customWidth="1"/>
    <col min="20" max="20" width="2.28515625" customWidth="1"/>
    <col min="22" max="23" width="9.140625" style="14"/>
    <col min="24" max="24" width="2" customWidth="1"/>
    <col min="28" max="28" width="1.5703125" customWidth="1"/>
    <col min="30" max="31" width="9.140625" style="14"/>
    <col min="32" max="32" width="1.5703125" customWidth="1"/>
    <col min="34" max="35" width="9.140625" style="6"/>
    <col min="36" max="36" width="1.85546875" style="7" customWidth="1"/>
    <col min="37" max="37" width="8.28515625" style="7" customWidth="1"/>
  </cols>
  <sheetData>
    <row r="6" spans="2:37" x14ac:dyDescent="0.25">
      <c r="B6" s="4" t="s">
        <v>9</v>
      </c>
    </row>
    <row r="7" spans="2:37" x14ac:dyDescent="0.25">
      <c r="E7" s="5" t="s">
        <v>6</v>
      </c>
      <c r="I7" s="7" t="s">
        <v>6</v>
      </c>
      <c r="M7" s="7" t="s">
        <v>6</v>
      </c>
    </row>
    <row r="8" spans="2:37" x14ac:dyDescent="0.25">
      <c r="I8" s="10" t="s">
        <v>7</v>
      </c>
      <c r="J8" s="10"/>
      <c r="K8" s="10"/>
      <c r="M8" s="7" t="s">
        <v>6</v>
      </c>
      <c r="Q8" s="2" t="s">
        <v>15</v>
      </c>
      <c r="R8" s="2"/>
      <c r="S8" s="2"/>
      <c r="U8" s="2" t="s">
        <v>16</v>
      </c>
      <c r="V8" s="15"/>
      <c r="W8" s="15"/>
      <c r="Y8" s="2" t="s">
        <v>17</v>
      </c>
      <c r="Z8" s="2"/>
      <c r="AA8" s="2"/>
      <c r="AC8" s="2" t="s">
        <v>18</v>
      </c>
      <c r="AD8" s="15"/>
      <c r="AE8" s="15"/>
      <c r="AG8" t="s">
        <v>19</v>
      </c>
      <c r="AH8" s="8"/>
      <c r="AI8" s="8"/>
    </row>
    <row r="9" spans="2:37" ht="16.899999999999999" customHeight="1" x14ac:dyDescent="0.3">
      <c r="E9" s="9" t="s">
        <v>3</v>
      </c>
      <c r="F9" s="9" t="s">
        <v>4</v>
      </c>
      <c r="G9" s="9" t="s">
        <v>5</v>
      </c>
      <c r="H9" s="7" t="s">
        <v>6</v>
      </c>
      <c r="I9" s="10" t="s">
        <v>10</v>
      </c>
      <c r="J9" s="10" t="s">
        <v>4</v>
      </c>
      <c r="K9" s="10" t="s">
        <v>5</v>
      </c>
      <c r="L9" s="7" t="s">
        <v>6</v>
      </c>
      <c r="M9" s="13" t="s">
        <v>8</v>
      </c>
      <c r="N9" s="10" t="s">
        <v>4</v>
      </c>
      <c r="O9" s="10" t="s">
        <v>5</v>
      </c>
      <c r="Q9" s="2" t="s">
        <v>20</v>
      </c>
      <c r="R9" s="2" t="s">
        <v>4</v>
      </c>
      <c r="S9" s="2" t="s">
        <v>5</v>
      </c>
      <c r="U9" s="2" t="s">
        <v>21</v>
      </c>
      <c r="V9" s="15" t="s">
        <v>4</v>
      </c>
      <c r="W9" s="15" t="s">
        <v>5</v>
      </c>
      <c r="X9" s="3"/>
      <c r="Y9" s="2" t="s">
        <v>20</v>
      </c>
      <c r="Z9" s="2" t="s">
        <v>4</v>
      </c>
      <c r="AA9" s="2" t="s">
        <v>5</v>
      </c>
      <c r="AB9" s="3"/>
      <c r="AC9" s="2" t="s">
        <v>21</v>
      </c>
      <c r="AD9" s="15" t="s">
        <v>4</v>
      </c>
      <c r="AE9" s="15" t="s">
        <v>5</v>
      </c>
      <c r="AF9" s="3"/>
      <c r="AG9" t="s">
        <v>22</v>
      </c>
      <c r="AH9" s="8" t="s">
        <v>4</v>
      </c>
      <c r="AI9" s="8" t="s">
        <v>5</v>
      </c>
      <c r="AJ9" s="10"/>
      <c r="AK9" s="10"/>
    </row>
    <row r="10" spans="2:37" ht="16.899999999999999" customHeight="1" x14ac:dyDescent="0.3">
      <c r="E10" s="9"/>
      <c r="F10" s="9"/>
      <c r="G10" s="9"/>
      <c r="I10" s="10"/>
      <c r="J10" s="10"/>
      <c r="K10" s="10"/>
      <c r="M10" s="10"/>
      <c r="N10" s="10"/>
      <c r="O10" s="10"/>
      <c r="X10" s="3"/>
      <c r="AB10" s="3"/>
      <c r="AF10" s="3"/>
      <c r="AJ10" s="10"/>
      <c r="AK10" s="10"/>
    </row>
    <row r="11" spans="2:37" ht="16.899999999999999" customHeight="1" x14ac:dyDescent="0.3">
      <c r="B11">
        <v>100</v>
      </c>
      <c r="C11" t="s">
        <v>0</v>
      </c>
      <c r="D11">
        <v>1</v>
      </c>
      <c r="E11" s="9">
        <v>4.1500000000000002E-2</v>
      </c>
      <c r="F11" s="9">
        <f>AVERAGE(E11:E13)</f>
        <v>4.1599999999999998E-2</v>
      </c>
      <c r="G11" s="9">
        <f>STDEV(E11:E13)</f>
        <v>1.0535653752852762E-3</v>
      </c>
      <c r="I11" s="10">
        <v>65080</v>
      </c>
      <c r="J11" s="11">
        <f>AVERAGE(I11:I13)</f>
        <v>63480</v>
      </c>
      <c r="K11" s="11">
        <f>STDEV(I11:I13)</f>
        <v>2814.6935890075138</v>
      </c>
      <c r="M11" s="10">
        <v>4.04</v>
      </c>
      <c r="N11" s="11">
        <f>AVERAGE(M11:M13)</f>
        <v>4.0266666666666664</v>
      </c>
      <c r="O11" s="11">
        <f>STDEV(M11:M13)</f>
        <v>1.1547005383792781E-2</v>
      </c>
      <c r="Q11">
        <v>9.36</v>
      </c>
      <c r="R11" s="16">
        <f>AVERAGE(Q11:Q13)</f>
        <v>9.31</v>
      </c>
      <c r="S11" s="16">
        <f>STDEV(Q11:Q13)</f>
        <v>0.92601295887260737</v>
      </c>
      <c r="U11">
        <f>Q11*0.03</f>
        <v>0.28079999999999999</v>
      </c>
      <c r="V11" s="15">
        <f>AVERAGE(U11:U13)</f>
        <v>0.27929999999999994</v>
      </c>
      <c r="W11" s="15">
        <f>STDEV(U11:U13)</f>
        <v>2.7780388766178225E-2</v>
      </c>
      <c r="X11" s="3"/>
      <c r="Y11">
        <v>3.37</v>
      </c>
      <c r="Z11" s="16">
        <f>AVERAGE(Y11:Y13)</f>
        <v>3.48</v>
      </c>
      <c r="AA11" s="16">
        <f>STDEV(Y11:Y13)</f>
        <v>0.14177446878757824</v>
      </c>
      <c r="AB11" s="3"/>
      <c r="AC11">
        <f>Y11*0.03</f>
        <v>0.1011</v>
      </c>
      <c r="AD11" s="15">
        <f>AVERAGE(AC11:AC13)</f>
        <v>0.10439999999999999</v>
      </c>
      <c r="AE11" s="15">
        <f>STDEV(AC11:AC13)</f>
        <v>4.2532340636273515E-3</v>
      </c>
      <c r="AF11" s="3"/>
      <c r="AG11" s="6">
        <f>U11/AC11</f>
        <v>2.7774480712166172</v>
      </c>
      <c r="AH11" s="8">
        <f>AVERAGE(AG11:AG13)</f>
        <v>2.6732369701394103</v>
      </c>
      <c r="AI11" s="8">
        <f>STDEV(AG11:AG13)</f>
        <v>0.20477406507968948</v>
      </c>
      <c r="AJ11" s="11"/>
      <c r="AK11" s="11"/>
    </row>
    <row r="12" spans="2:37" ht="16.899999999999999" customHeight="1" x14ac:dyDescent="0.3">
      <c r="C12" t="s">
        <v>1</v>
      </c>
      <c r="D12">
        <v>1</v>
      </c>
      <c r="E12" s="9">
        <v>4.2700000000000002E-2</v>
      </c>
      <c r="F12" s="9"/>
      <c r="G12" s="9"/>
      <c r="I12" s="10">
        <v>65130</v>
      </c>
      <c r="J12" s="10"/>
      <c r="K12" s="10"/>
      <c r="M12" s="10">
        <v>4.0199999999999996</v>
      </c>
      <c r="N12" s="10"/>
      <c r="O12" s="10"/>
      <c r="Q12">
        <v>10.210000000000001</v>
      </c>
      <c r="R12" s="2"/>
      <c r="S12" s="2"/>
      <c r="U12">
        <f t="shared" ref="U12:U13" si="0">Q12*0.03</f>
        <v>0.30630000000000002</v>
      </c>
      <c r="V12" s="15"/>
      <c r="W12" s="15"/>
      <c r="X12" s="3"/>
      <c r="Y12">
        <v>3.64</v>
      </c>
      <c r="Z12" s="2"/>
      <c r="AA12" s="2"/>
      <c r="AB12" s="3"/>
      <c r="AC12">
        <f t="shared" ref="AC12:AC13" si="1">Y12*0.03</f>
        <v>0.10920000000000001</v>
      </c>
      <c r="AD12" s="15"/>
      <c r="AE12" s="15"/>
      <c r="AF12" s="3"/>
      <c r="AG12" s="6">
        <f>U12/AC12</f>
        <v>2.8049450549450547</v>
      </c>
      <c r="AH12" s="8"/>
      <c r="AI12" s="8"/>
      <c r="AJ12" s="10"/>
      <c r="AK12" s="10"/>
    </row>
    <row r="13" spans="2:37" ht="16.899999999999999" customHeight="1" x14ac:dyDescent="0.3">
      <c r="C13" t="s">
        <v>2</v>
      </c>
      <c r="D13">
        <v>1</v>
      </c>
      <c r="E13" s="9">
        <v>4.0599999999999997E-2</v>
      </c>
      <c r="F13" s="9"/>
      <c r="G13" s="9"/>
      <c r="I13" s="10">
        <v>60230</v>
      </c>
      <c r="J13" s="10"/>
      <c r="K13" s="10"/>
      <c r="M13" s="10">
        <v>4.0199999999999996</v>
      </c>
      <c r="N13" s="10"/>
      <c r="O13" s="10"/>
      <c r="Q13">
        <v>8.36</v>
      </c>
      <c r="R13" s="2"/>
      <c r="S13" s="2"/>
      <c r="U13">
        <f t="shared" si="0"/>
        <v>0.25079999999999997</v>
      </c>
      <c r="V13" s="15"/>
      <c r="W13" s="15"/>
      <c r="X13" s="3"/>
      <c r="Y13">
        <v>3.43</v>
      </c>
      <c r="Z13" s="2"/>
      <c r="AA13" s="2"/>
      <c r="AB13" s="3"/>
      <c r="AC13">
        <f t="shared" si="1"/>
        <v>0.10290000000000001</v>
      </c>
      <c r="AD13" s="15"/>
      <c r="AE13" s="15"/>
      <c r="AF13" s="3"/>
      <c r="AG13" s="6">
        <f>U13/AC13</f>
        <v>2.4373177842565594</v>
      </c>
      <c r="AH13" s="8"/>
      <c r="AI13" s="8"/>
      <c r="AJ13" s="10"/>
      <c r="AK13" s="10"/>
    </row>
    <row r="14" spans="2:37" ht="16.899999999999999" customHeight="1" x14ac:dyDescent="0.3">
      <c r="E14" s="9"/>
      <c r="F14" s="9"/>
      <c r="G14" s="9"/>
      <c r="I14" s="10"/>
      <c r="J14" s="10"/>
      <c r="K14" s="10"/>
      <c r="M14" s="10"/>
      <c r="N14" s="10"/>
      <c r="O14" s="10"/>
      <c r="Q14" t="s">
        <v>6</v>
      </c>
      <c r="R14" s="2"/>
      <c r="S14" s="2"/>
      <c r="V14" s="15"/>
      <c r="W14" s="15"/>
      <c r="X14" s="3"/>
      <c r="Y14" t="s">
        <v>6</v>
      </c>
      <c r="Z14" s="2"/>
      <c r="AA14" s="2"/>
      <c r="AB14" s="3"/>
      <c r="AD14" s="15"/>
      <c r="AE14" s="15"/>
      <c r="AF14" s="3"/>
      <c r="AH14" s="8"/>
      <c r="AI14" s="8"/>
      <c r="AJ14" s="10"/>
      <c r="AK14" s="10"/>
    </row>
    <row r="15" spans="2:37" ht="16.899999999999999" customHeight="1" x14ac:dyDescent="0.3">
      <c r="B15">
        <v>100</v>
      </c>
      <c r="C15" t="s">
        <v>0</v>
      </c>
      <c r="D15">
        <v>2</v>
      </c>
      <c r="E15" s="9">
        <v>9.11E-2</v>
      </c>
      <c r="F15" s="9">
        <f>AVERAGE(E15:E17)</f>
        <v>8.7166666666666656E-2</v>
      </c>
      <c r="G15" s="9">
        <f>STDEV(E15:E17)</f>
        <v>5.8858587592069637E-3</v>
      </c>
      <c r="I15" s="10">
        <v>5788</v>
      </c>
      <c r="J15" s="11">
        <f>AVERAGE(I15:I17)</f>
        <v>5982</v>
      </c>
      <c r="K15" s="11">
        <f>STDEV(I15:I17)</f>
        <v>186.08331467383098</v>
      </c>
      <c r="M15" s="10">
        <v>5.05</v>
      </c>
      <c r="N15" s="11">
        <f>AVERAGE(M15:M17)</f>
        <v>5.0966666666666667</v>
      </c>
      <c r="O15" s="11">
        <f>STDEV(M15:M17)</f>
        <v>7.2341781380702352E-2</v>
      </c>
      <c r="Q15">
        <v>7.66</v>
      </c>
      <c r="R15" s="16">
        <f>AVERAGE(Q15:Q17)</f>
        <v>7.5733333333333333</v>
      </c>
      <c r="S15" s="16">
        <f>STDEV(Q15:Q17)</f>
        <v>0.65431898439013159</v>
      </c>
      <c r="U15">
        <f>Q15*0.03</f>
        <v>0.2298</v>
      </c>
      <c r="V15" s="15">
        <f>AVERAGE(U15:U17)</f>
        <v>0.22719999999999999</v>
      </c>
      <c r="W15" s="15">
        <f>STDEV(U15:U17)</f>
        <v>1.9629569531703941E-2</v>
      </c>
      <c r="X15" s="3"/>
      <c r="Y15">
        <v>1.23</v>
      </c>
      <c r="Z15" s="16">
        <f>AVERAGE(Y15:Y17)</f>
        <v>1.2333333333333334</v>
      </c>
      <c r="AA15" s="16">
        <f>STDEV(Y15:Y17)</f>
        <v>5.5075705472861072E-2</v>
      </c>
      <c r="AB15" s="3"/>
      <c r="AC15">
        <f>Y15*0.03</f>
        <v>3.6899999999999995E-2</v>
      </c>
      <c r="AD15" s="15">
        <f>AVERAGE(AC15:AC17)</f>
        <v>3.6999999999999998E-2</v>
      </c>
      <c r="AE15" s="15">
        <f>STDEV(AC15:AC17)</f>
        <v>1.6522711641858328E-3</v>
      </c>
      <c r="AF15" s="3"/>
      <c r="AG15" s="6">
        <f>U15/AC15</f>
        <v>6.227642276422765</v>
      </c>
      <c r="AH15" s="8">
        <f>AVERAGE(AG15:AG17)</f>
        <v>6.1330786741056222</v>
      </c>
      <c r="AI15" s="8">
        <f>STDEV(AG15:AG17)</f>
        <v>0.26810235453108811</v>
      </c>
      <c r="AJ15" s="11"/>
      <c r="AK15" s="11"/>
    </row>
    <row r="16" spans="2:37" ht="16.899999999999999" customHeight="1" x14ac:dyDescent="0.3">
      <c r="C16" t="s">
        <v>1</v>
      </c>
      <c r="D16">
        <v>2</v>
      </c>
      <c r="E16" s="9">
        <v>0.09</v>
      </c>
      <c r="F16" s="9"/>
      <c r="G16" s="9"/>
      <c r="I16" s="10">
        <v>5999</v>
      </c>
      <c r="J16" s="10"/>
      <c r="K16" s="10"/>
      <c r="M16" s="10">
        <v>5.18</v>
      </c>
      <c r="N16" s="10"/>
      <c r="O16" s="10"/>
      <c r="Q16">
        <v>8.18</v>
      </c>
      <c r="R16" s="2"/>
      <c r="S16" s="2"/>
      <c r="U16">
        <f t="shared" ref="U16:U17" si="2">Q16*0.03</f>
        <v>0.24539999999999998</v>
      </c>
      <c r="V16" s="15"/>
      <c r="W16" s="15"/>
      <c r="X16" s="3"/>
      <c r="Y16">
        <v>1.29</v>
      </c>
      <c r="Z16" s="2"/>
      <c r="AA16" s="2"/>
      <c r="AB16" s="3"/>
      <c r="AC16">
        <f t="shared" ref="AC16:AC17" si="3">Y16*0.03</f>
        <v>3.8699999999999998E-2</v>
      </c>
      <c r="AD16" s="15"/>
      <c r="AE16" s="15"/>
      <c r="AF16" s="3"/>
      <c r="AG16" s="6">
        <f>U16/AC16</f>
        <v>6.3410852713178292</v>
      </c>
      <c r="AH16" s="8"/>
      <c r="AI16" s="8"/>
      <c r="AJ16" s="10"/>
      <c r="AK16" s="10"/>
    </row>
    <row r="17" spans="2:37" ht="16.899999999999999" customHeight="1" x14ac:dyDescent="0.3">
      <c r="C17" t="s">
        <v>2</v>
      </c>
      <c r="D17">
        <v>2</v>
      </c>
      <c r="E17" s="9">
        <v>8.0399999999999999E-2</v>
      </c>
      <c r="F17" s="9"/>
      <c r="G17" s="9"/>
      <c r="I17" s="10">
        <v>6159</v>
      </c>
      <c r="J17" s="10"/>
      <c r="K17" s="10"/>
      <c r="M17" s="10">
        <v>5.0599999999999996</v>
      </c>
      <c r="N17" s="10"/>
      <c r="O17" s="10"/>
      <c r="Q17">
        <v>6.88</v>
      </c>
      <c r="R17" s="2"/>
      <c r="S17" s="2"/>
      <c r="U17">
        <f t="shared" si="2"/>
        <v>0.2064</v>
      </c>
      <c r="V17" s="15"/>
      <c r="W17" s="15"/>
      <c r="X17" s="3"/>
      <c r="Y17">
        <v>1.18</v>
      </c>
      <c r="Z17" s="2"/>
      <c r="AA17" s="2"/>
      <c r="AB17" s="3"/>
      <c r="AC17">
        <f t="shared" si="3"/>
        <v>3.5399999999999994E-2</v>
      </c>
      <c r="AD17" s="15"/>
      <c r="AE17" s="15"/>
      <c r="AF17" s="3"/>
      <c r="AG17" s="6">
        <f>U17/AC17</f>
        <v>5.8305084745762725</v>
      </c>
      <c r="AH17" s="8"/>
      <c r="AI17" s="8"/>
      <c r="AJ17" s="10"/>
      <c r="AK17" s="10"/>
    </row>
    <row r="18" spans="2:37" ht="16.899999999999999" customHeight="1" x14ac:dyDescent="0.3">
      <c r="E18" s="9"/>
      <c r="F18" s="9"/>
      <c r="G18" s="9"/>
      <c r="I18" s="10"/>
      <c r="J18" s="10"/>
      <c r="K18" s="10"/>
      <c r="M18" s="10"/>
      <c r="N18" s="10"/>
      <c r="O18" s="10"/>
      <c r="Q18" t="s">
        <v>6</v>
      </c>
      <c r="R18" s="2"/>
      <c r="S18" s="2"/>
      <c r="U18" t="s">
        <v>6</v>
      </c>
      <c r="V18" s="15"/>
      <c r="W18" s="15"/>
      <c r="X18" s="3"/>
      <c r="Y18" t="s">
        <v>6</v>
      </c>
      <c r="Z18" s="2"/>
      <c r="AA18" s="2"/>
      <c r="AB18" s="3"/>
      <c r="AC18" t="s">
        <v>6</v>
      </c>
      <c r="AD18" s="15"/>
      <c r="AE18" s="15"/>
      <c r="AF18" s="3"/>
      <c r="AG18" s="6" t="s">
        <v>6</v>
      </c>
      <c r="AH18" s="8"/>
      <c r="AI18" s="8"/>
      <c r="AJ18" s="10"/>
      <c r="AK18" s="10"/>
    </row>
    <row r="19" spans="2:37" ht="16.899999999999999" customHeight="1" x14ac:dyDescent="0.3">
      <c r="B19">
        <v>100</v>
      </c>
      <c r="C19" t="s">
        <v>0</v>
      </c>
      <c r="D19">
        <v>3</v>
      </c>
      <c r="E19" s="9">
        <v>2.1309999999999998</v>
      </c>
      <c r="F19" s="9">
        <f>AVERAGE(E19:E21)</f>
        <v>2.0948666666666664</v>
      </c>
      <c r="G19" s="9">
        <f>STDEV(E19:E21)</f>
        <v>3.2426275353998481E-2</v>
      </c>
      <c r="I19" s="10">
        <v>445.4</v>
      </c>
      <c r="J19" s="11">
        <f>AVERAGE(I19:I21)</f>
        <v>460.23333333333335</v>
      </c>
      <c r="K19" s="11">
        <f>STDEV(I19:I21)</f>
        <v>22.893740046862906</v>
      </c>
      <c r="M19" s="10">
        <v>6.05</v>
      </c>
      <c r="N19" s="11">
        <f>AVERAGE(M19:M21)</f>
        <v>6.04</v>
      </c>
      <c r="O19" s="11">
        <f>STDEV(M19:M21)</f>
        <v>1.7320508075688915E-2</v>
      </c>
      <c r="Q19">
        <v>56.18</v>
      </c>
      <c r="R19" s="16">
        <f>AVERAGE(Q19:Q21)</f>
        <v>55.74</v>
      </c>
      <c r="S19" s="16">
        <f>STDEV(Q19:Q21)</f>
        <v>1.8594622878671132</v>
      </c>
      <c r="U19">
        <f>Q19*0.03</f>
        <v>1.6854</v>
      </c>
      <c r="V19" s="15">
        <f>AVERAGE(U19:U21)</f>
        <v>1.6722000000000001</v>
      </c>
      <c r="W19" s="15">
        <f>STDEV(U19:U21)</f>
        <v>5.5783868636013388E-2</v>
      </c>
      <c r="X19" s="3"/>
      <c r="Y19">
        <v>3.68</v>
      </c>
      <c r="Z19" s="16">
        <f>AVERAGE(Y19:Y21)</f>
        <v>3.6</v>
      </c>
      <c r="AA19" s="16">
        <f>STDEV(Y19:Y21)</f>
        <v>0.11357816691600539</v>
      </c>
      <c r="AB19" s="3"/>
      <c r="AC19">
        <f>Y19*0.03</f>
        <v>0.1104</v>
      </c>
      <c r="AD19" s="15">
        <f>AVERAGE(AC19:AC21)</f>
        <v>0.108</v>
      </c>
      <c r="AE19" s="15">
        <f>STDEV(AC19:AC21)</f>
        <v>3.4073450074801645E-3</v>
      </c>
      <c r="AF19" s="3"/>
      <c r="AG19" s="6">
        <f>U19/AC19</f>
        <v>15.266304347826088</v>
      </c>
      <c r="AH19" s="8">
        <f>AVERAGE(AG19:AG21)</f>
        <v>15.483799237229517</v>
      </c>
      <c r="AI19" s="8">
        <f>STDEV(AG19:AG21)</f>
        <v>0.2217587293124815</v>
      </c>
      <c r="AJ19" s="11"/>
      <c r="AK19" s="11"/>
    </row>
    <row r="20" spans="2:37" ht="16.899999999999999" customHeight="1" x14ac:dyDescent="0.3">
      <c r="C20" t="s">
        <v>1</v>
      </c>
      <c r="D20">
        <v>3</v>
      </c>
      <c r="E20" s="9">
        <v>2.0682999999999998</v>
      </c>
      <c r="F20" s="9"/>
      <c r="G20" s="9"/>
      <c r="I20" s="10">
        <v>486.6</v>
      </c>
      <c r="J20" s="10"/>
      <c r="K20" s="10"/>
      <c r="M20" s="10">
        <v>6.02</v>
      </c>
      <c r="N20" s="10"/>
      <c r="O20" s="10"/>
      <c r="Q20">
        <v>53.7</v>
      </c>
      <c r="R20" s="2"/>
      <c r="S20" s="2"/>
      <c r="U20">
        <f t="shared" ref="U20:U21" si="4">Q20*0.03</f>
        <v>1.611</v>
      </c>
      <c r="V20" s="15"/>
      <c r="W20" s="15"/>
      <c r="X20" s="3"/>
      <c r="Y20">
        <v>3.47</v>
      </c>
      <c r="Z20" s="2"/>
      <c r="AA20" s="2"/>
      <c r="AB20" s="3"/>
      <c r="AC20">
        <f t="shared" ref="AC20:AC21" si="5">Y20*0.03</f>
        <v>0.1041</v>
      </c>
      <c r="AD20" s="15"/>
      <c r="AE20" s="15"/>
      <c r="AF20" s="3"/>
      <c r="AG20" s="6">
        <f>U20/AC20</f>
        <v>15.475504322766572</v>
      </c>
      <c r="AH20" s="8"/>
      <c r="AI20" s="8"/>
      <c r="AJ20" s="10"/>
      <c r="AK20" s="10"/>
    </row>
    <row r="21" spans="2:37" ht="16.899999999999999" customHeight="1" x14ac:dyDescent="0.3">
      <c r="C21" t="s">
        <v>2</v>
      </c>
      <c r="D21">
        <v>3</v>
      </c>
      <c r="E21" s="9">
        <v>2.0853000000000002</v>
      </c>
      <c r="F21" s="9"/>
      <c r="G21" s="9"/>
      <c r="I21" s="10">
        <v>448.7</v>
      </c>
      <c r="J21" s="10"/>
      <c r="K21" s="10"/>
      <c r="M21" s="10">
        <v>6.05</v>
      </c>
      <c r="N21" s="10"/>
      <c r="O21" s="10"/>
      <c r="Q21">
        <v>57.34</v>
      </c>
      <c r="R21" s="2"/>
      <c r="S21" s="2"/>
      <c r="U21">
        <f t="shared" si="4"/>
        <v>1.7202</v>
      </c>
      <c r="V21" s="15"/>
      <c r="W21" s="15"/>
      <c r="X21" s="3"/>
      <c r="Y21">
        <v>3.65</v>
      </c>
      <c r="Z21" s="2"/>
      <c r="AA21" s="2"/>
      <c r="AB21" s="3"/>
      <c r="AC21">
        <f t="shared" si="5"/>
        <v>0.1095</v>
      </c>
      <c r="AD21" s="15"/>
      <c r="AE21" s="15"/>
      <c r="AF21" s="3"/>
      <c r="AG21" s="6">
        <f>U21/AC21</f>
        <v>15.70958904109589</v>
      </c>
      <c r="AH21" s="8"/>
      <c r="AI21" s="8"/>
      <c r="AJ21" s="10"/>
      <c r="AK21" s="10"/>
    </row>
    <row r="22" spans="2:37" ht="16.899999999999999" customHeight="1" x14ac:dyDescent="0.3">
      <c r="E22" s="9"/>
      <c r="F22" s="9"/>
      <c r="G22" s="9"/>
      <c r="I22" s="10"/>
      <c r="J22" s="10"/>
      <c r="K22" s="10"/>
      <c r="M22" s="10"/>
      <c r="N22" s="10"/>
      <c r="O22" s="10"/>
      <c r="Q22" t="s">
        <v>6</v>
      </c>
      <c r="R22" s="2"/>
      <c r="S22" s="2"/>
      <c r="U22" t="s">
        <v>6</v>
      </c>
      <c r="V22" s="15"/>
      <c r="W22" s="15"/>
      <c r="X22" s="3"/>
      <c r="Y22" t="s">
        <v>6</v>
      </c>
      <c r="Z22" s="2"/>
      <c r="AA22" s="2"/>
      <c r="AB22" s="3"/>
      <c r="AC22" t="s">
        <v>6</v>
      </c>
      <c r="AD22" s="15"/>
      <c r="AE22" s="15"/>
      <c r="AF22" s="3"/>
      <c r="AG22" s="6" t="s">
        <v>6</v>
      </c>
      <c r="AH22" s="8"/>
      <c r="AI22" s="8"/>
      <c r="AJ22" s="10"/>
      <c r="AK22" s="10"/>
    </row>
    <row r="23" spans="2:37" ht="16.899999999999999" customHeight="1" x14ac:dyDescent="0.3">
      <c r="B23">
        <v>100</v>
      </c>
      <c r="C23" t="s">
        <v>0</v>
      </c>
      <c r="D23">
        <v>4</v>
      </c>
      <c r="E23" s="9">
        <v>1.8747</v>
      </c>
      <c r="F23" s="9">
        <f>AVERAGE(E23:E25)</f>
        <v>1.8358999999999999</v>
      </c>
      <c r="G23" s="9">
        <f>STDEV(E23:E25)</f>
        <v>3.3863254421275003E-2</v>
      </c>
      <c r="I23" s="10">
        <v>64.430000000000007</v>
      </c>
      <c r="J23" s="12">
        <f>AVERAGE(I23:I25)</f>
        <v>63.713333333333338</v>
      </c>
      <c r="K23" s="12">
        <f>STDEV(I23:I25)</f>
        <v>0.7200231477760537</v>
      </c>
      <c r="M23" s="10">
        <v>6.74</v>
      </c>
      <c r="N23" s="12">
        <f>AVERAGE(M23:M25)</f>
        <v>6.73</v>
      </c>
      <c r="O23" s="12">
        <f>STDEV(M23:M25)</f>
        <v>1.0000000000000231E-2</v>
      </c>
      <c r="Q23">
        <v>47.55</v>
      </c>
      <c r="R23" s="15">
        <f>AVERAGE(Q23:Q25)</f>
        <v>46.370000000000005</v>
      </c>
      <c r="S23" s="15">
        <f>STDEV(Q23:Q25)</f>
        <v>1.2675961501992641</v>
      </c>
      <c r="U23">
        <f>Q23*0.03</f>
        <v>1.4264999999999999</v>
      </c>
      <c r="V23" s="15">
        <f>AVERAGE(U23:U25)</f>
        <v>1.3911</v>
      </c>
      <c r="W23" s="15">
        <f>STDEV(U23:U25)</f>
        <v>3.8027884505977924E-2</v>
      </c>
      <c r="X23" s="3"/>
      <c r="Y23">
        <v>3.47</v>
      </c>
      <c r="Z23" s="15">
        <f>AVERAGE(Y23:Y25)</f>
        <v>3.3000000000000003</v>
      </c>
      <c r="AA23" s="15">
        <f>STDEV(Y23:Y25)</f>
        <v>0.14798648586948748</v>
      </c>
      <c r="AB23" s="3"/>
      <c r="AC23">
        <f>Y23*0.03</f>
        <v>0.1041</v>
      </c>
      <c r="AD23" s="15">
        <f>AVERAGE(AC23:AC25)</f>
        <v>9.8999999999999991E-2</v>
      </c>
      <c r="AE23" s="15">
        <f>STDEV(AC23:AC25)</f>
        <v>4.4395945760846208E-3</v>
      </c>
      <c r="AF23" s="3"/>
      <c r="AG23" s="6">
        <f>U23/AC23</f>
        <v>13.703170028818443</v>
      </c>
      <c r="AH23" s="8">
        <f>AVERAGE(AG23:AG25)</f>
        <v>14.061657166468891</v>
      </c>
      <c r="AI23" s="8">
        <f>STDEV(AG23:AG25)</f>
        <v>0.43153146553767152</v>
      </c>
      <c r="AJ23" s="12"/>
      <c r="AK23" s="12"/>
    </row>
    <row r="24" spans="2:37" ht="16.899999999999999" customHeight="1" x14ac:dyDescent="0.3">
      <c r="C24" t="s">
        <v>1</v>
      </c>
      <c r="D24">
        <v>4</v>
      </c>
      <c r="E24" s="9">
        <v>1.8123</v>
      </c>
      <c r="F24" s="9"/>
      <c r="G24" s="9"/>
      <c r="I24" s="10">
        <v>63.72</v>
      </c>
      <c r="J24" s="12"/>
      <c r="K24" s="12"/>
      <c r="M24" s="10">
        <v>6.73</v>
      </c>
      <c r="N24" s="12"/>
      <c r="O24" s="12"/>
      <c r="Q24">
        <v>46.53</v>
      </c>
      <c r="R24" s="15"/>
      <c r="S24" s="15"/>
      <c r="U24">
        <f t="shared" ref="U24:U25" si="6">Q24*0.03</f>
        <v>1.3958999999999999</v>
      </c>
      <c r="V24" s="15"/>
      <c r="W24" s="15"/>
      <c r="X24" s="3"/>
      <c r="Y24">
        <v>3.2</v>
      </c>
      <c r="Z24" s="15"/>
      <c r="AA24" s="15"/>
      <c r="AB24" s="3"/>
      <c r="AC24">
        <f t="shared" ref="AC24:AC25" si="7">Y24*0.03</f>
        <v>9.6000000000000002E-2</v>
      </c>
      <c r="AD24" s="15"/>
      <c r="AE24" s="15"/>
      <c r="AF24" s="3"/>
      <c r="AG24" s="6">
        <f>U24/AC24</f>
        <v>14.540624999999999</v>
      </c>
      <c r="AH24" s="8"/>
      <c r="AI24" s="8"/>
      <c r="AJ24" s="12"/>
      <c r="AK24" s="12"/>
    </row>
    <row r="25" spans="2:37" ht="16.899999999999999" customHeight="1" x14ac:dyDescent="0.3">
      <c r="C25" t="s">
        <v>2</v>
      </c>
      <c r="D25">
        <v>4</v>
      </c>
      <c r="E25" s="9">
        <v>1.8207</v>
      </c>
      <c r="F25" s="9"/>
      <c r="G25" s="9"/>
      <c r="I25" s="10">
        <v>62.99</v>
      </c>
      <c r="J25" s="12"/>
      <c r="K25" s="12"/>
      <c r="M25" s="10">
        <v>6.72</v>
      </c>
      <c r="N25" s="12"/>
      <c r="O25" s="12"/>
      <c r="Q25">
        <v>45.03</v>
      </c>
      <c r="R25" s="15"/>
      <c r="S25" s="15"/>
      <c r="U25">
        <f t="shared" si="6"/>
        <v>1.3509</v>
      </c>
      <c r="V25" s="15"/>
      <c r="W25" s="15"/>
      <c r="X25" s="3"/>
      <c r="Y25">
        <v>3.23</v>
      </c>
      <c r="Z25" s="15"/>
      <c r="AA25" s="15"/>
      <c r="AB25" s="3"/>
      <c r="AC25">
        <f t="shared" si="7"/>
        <v>9.69E-2</v>
      </c>
      <c r="AD25" s="15"/>
      <c r="AE25" s="15"/>
      <c r="AF25" s="3"/>
      <c r="AG25" s="6">
        <f>U25/AC25</f>
        <v>13.941176470588236</v>
      </c>
      <c r="AH25" s="8"/>
      <c r="AI25" s="8"/>
      <c r="AJ25" s="12"/>
      <c r="AK25" s="12"/>
    </row>
    <row r="26" spans="2:37" ht="16.899999999999999" customHeight="1" x14ac:dyDescent="0.3">
      <c r="E26" s="9"/>
      <c r="F26" s="9"/>
      <c r="G26" s="9"/>
      <c r="I26" s="10"/>
      <c r="J26" s="12"/>
      <c r="K26" s="12"/>
      <c r="M26" s="10"/>
      <c r="N26" s="12"/>
      <c r="O26" s="12"/>
      <c r="Q26" t="s">
        <v>6</v>
      </c>
      <c r="R26" s="15"/>
      <c r="S26" s="15"/>
      <c r="U26" t="s">
        <v>6</v>
      </c>
      <c r="V26" s="15"/>
      <c r="W26" s="15"/>
      <c r="X26" s="3"/>
      <c r="Y26" t="s">
        <v>6</v>
      </c>
      <c r="Z26" s="15"/>
      <c r="AA26" s="15"/>
      <c r="AB26" s="3"/>
      <c r="AC26" t="s">
        <v>6</v>
      </c>
      <c r="AD26" s="15"/>
      <c r="AE26" s="15"/>
      <c r="AF26" s="3"/>
      <c r="AG26" s="6" t="s">
        <v>6</v>
      </c>
      <c r="AH26" s="8"/>
      <c r="AI26" s="8"/>
      <c r="AJ26" s="12"/>
      <c r="AK26" s="12"/>
    </row>
    <row r="27" spans="2:37" ht="16.899999999999999" customHeight="1" x14ac:dyDescent="0.3">
      <c r="B27">
        <v>100</v>
      </c>
      <c r="C27" t="s">
        <v>0</v>
      </c>
      <c r="D27">
        <v>5</v>
      </c>
      <c r="E27" s="9">
        <v>1.0617000000000001</v>
      </c>
      <c r="F27" s="9">
        <f>AVERAGE(E27:E29)</f>
        <v>1.0952999999999999</v>
      </c>
      <c r="G27" s="9">
        <f>STDEV(E27:E29)</f>
        <v>3.1179480431848056E-2</v>
      </c>
      <c r="I27" s="10">
        <v>31.38</v>
      </c>
      <c r="J27" s="12">
        <f>AVERAGE(I27:I29)</f>
        <v>32.663333333333334</v>
      </c>
      <c r="K27" s="12">
        <f>STDEV(I27:I29)</f>
        <v>1.1123099088533441</v>
      </c>
      <c r="M27" s="10">
        <v>6.94</v>
      </c>
      <c r="N27" s="12">
        <f>AVERAGE(M27:M29)</f>
        <v>6.9533333333333331</v>
      </c>
      <c r="O27" s="12">
        <f>STDEV(M27:M29)</f>
        <v>2.3094010767585053E-2</v>
      </c>
      <c r="Q27">
        <v>27.03</v>
      </c>
      <c r="R27" s="15">
        <f>AVERAGE(Q27:Q29)</f>
        <v>27.433333333333334</v>
      </c>
      <c r="S27" s="15">
        <f>STDEV(Q27:Q29)</f>
        <v>0.35725807665234521</v>
      </c>
      <c r="U27">
        <f>Q27*0.03</f>
        <v>0.81089999999999995</v>
      </c>
      <c r="V27" s="15">
        <f>AVERAGE(U27:U29)</f>
        <v>0.82299999999999995</v>
      </c>
      <c r="W27" s="15">
        <f>STDEV(U27:U29)</f>
        <v>1.0717742299570409E-2</v>
      </c>
      <c r="X27" s="3"/>
      <c r="Y27">
        <v>1.93</v>
      </c>
      <c r="Z27" s="15">
        <f>AVERAGE(Y27:Y29)</f>
        <v>1.9533333333333334</v>
      </c>
      <c r="AA27" s="15">
        <f>STDEV(Y27:Y29)</f>
        <v>2.5166114784235857E-2</v>
      </c>
      <c r="AB27" s="3"/>
      <c r="AC27">
        <f>Y27*0.03</f>
        <v>5.7899999999999993E-2</v>
      </c>
      <c r="AD27" s="15">
        <f>AVERAGE(AC27:AC29)</f>
        <v>5.8599999999999992E-2</v>
      </c>
      <c r="AE27" s="15">
        <f>STDEV(AC27:AC29)</f>
        <v>7.549834435270755E-4</v>
      </c>
      <c r="AF27" s="3"/>
      <c r="AG27" s="6">
        <f>U27/AC27</f>
        <v>14.005181347150259</v>
      </c>
      <c r="AH27" s="8">
        <f>AVERAGE(AG27:AG29)</f>
        <v>14.044488058477697</v>
      </c>
      <c r="AI27" s="8">
        <f>STDEV(AG27:AG29)</f>
        <v>7.7112157588767688E-2</v>
      </c>
      <c r="AJ27" s="12"/>
      <c r="AK27" s="12"/>
    </row>
    <row r="28" spans="2:37" ht="16.899999999999999" customHeight="1" x14ac:dyDescent="0.3">
      <c r="C28" t="s">
        <v>1</v>
      </c>
      <c r="D28">
        <v>5</v>
      </c>
      <c r="E28" s="9">
        <v>1.1233</v>
      </c>
      <c r="F28" s="9"/>
      <c r="G28" s="9"/>
      <c r="I28" s="10">
        <v>33.35</v>
      </c>
      <c r="J28" s="12"/>
      <c r="K28" s="12"/>
      <c r="M28" s="10">
        <v>6.94</v>
      </c>
      <c r="N28" s="12"/>
      <c r="O28" s="12"/>
      <c r="Q28">
        <v>27.71</v>
      </c>
      <c r="R28" s="15"/>
      <c r="S28" s="15"/>
      <c r="U28">
        <f t="shared" ref="U28:U29" si="8">Q28*0.03</f>
        <v>0.83130000000000004</v>
      </c>
      <c r="V28" s="15"/>
      <c r="W28" s="15"/>
      <c r="X28" s="3"/>
      <c r="Y28">
        <v>1.98</v>
      </c>
      <c r="Z28" s="15"/>
      <c r="AA28" s="15"/>
      <c r="AB28" s="3"/>
      <c r="AC28">
        <f t="shared" ref="AC28:AC29" si="9">Y28*0.03</f>
        <v>5.9399999999999994E-2</v>
      </c>
      <c r="AD28" s="15"/>
      <c r="AE28" s="15"/>
      <c r="AF28" s="3"/>
      <c r="AG28" s="6">
        <f>U28/AC28</f>
        <v>13.994949494949497</v>
      </c>
      <c r="AH28" s="8"/>
      <c r="AI28" s="8"/>
      <c r="AJ28" s="12"/>
      <c r="AK28" s="12"/>
    </row>
    <row r="29" spans="2:37" ht="16.899999999999999" customHeight="1" x14ac:dyDescent="0.3">
      <c r="C29" t="s">
        <v>2</v>
      </c>
      <c r="D29">
        <v>5</v>
      </c>
      <c r="E29" s="9">
        <v>1.1009</v>
      </c>
      <c r="F29" s="9"/>
      <c r="G29" s="9"/>
      <c r="I29" s="10">
        <v>33.26</v>
      </c>
      <c r="J29" s="12"/>
      <c r="K29" s="12"/>
      <c r="M29" s="10">
        <v>6.98</v>
      </c>
      <c r="N29" s="12"/>
      <c r="O29" s="12"/>
      <c r="Q29">
        <v>27.56</v>
      </c>
      <c r="R29" s="15"/>
      <c r="S29" s="15"/>
      <c r="U29">
        <f t="shared" si="8"/>
        <v>0.82679999999999998</v>
      </c>
      <c r="V29" s="15"/>
      <c r="W29" s="15"/>
      <c r="X29" s="3"/>
      <c r="Y29">
        <v>1.95</v>
      </c>
      <c r="Z29" s="15"/>
      <c r="AA29" s="15"/>
      <c r="AB29" s="3"/>
      <c r="AC29">
        <f t="shared" si="9"/>
        <v>5.8499999999999996E-2</v>
      </c>
      <c r="AD29" s="15"/>
      <c r="AE29" s="15"/>
      <c r="AF29" s="3"/>
      <c r="AG29" s="6">
        <f>U29/AC29</f>
        <v>14.133333333333335</v>
      </c>
      <c r="AH29" s="8"/>
      <c r="AI29" s="8"/>
      <c r="AJ29" s="12"/>
      <c r="AK29" s="12"/>
    </row>
    <row r="30" spans="2:37" ht="16.899999999999999" customHeight="1" x14ac:dyDescent="0.3">
      <c r="E30" s="9"/>
      <c r="F30" s="9"/>
      <c r="G30" s="9"/>
      <c r="I30" s="10"/>
      <c r="J30" s="12"/>
      <c r="K30" s="12"/>
      <c r="M30" s="10"/>
      <c r="N30" s="12"/>
      <c r="O30" s="12"/>
      <c r="Q30" t="s">
        <v>6</v>
      </c>
      <c r="R30" s="15"/>
      <c r="S30" s="15"/>
      <c r="U30" t="s">
        <v>6</v>
      </c>
      <c r="V30" s="15"/>
      <c r="W30" s="15"/>
      <c r="X30" s="3"/>
      <c r="Y30" t="s">
        <v>6</v>
      </c>
      <c r="Z30" s="15"/>
      <c r="AA30" s="15"/>
      <c r="AB30" s="3"/>
      <c r="AC30" t="s">
        <v>6</v>
      </c>
      <c r="AD30" s="15"/>
      <c r="AE30" s="15"/>
      <c r="AF30" s="3"/>
      <c r="AG30" s="6" t="s">
        <v>6</v>
      </c>
      <c r="AH30" s="8"/>
      <c r="AI30" s="8"/>
      <c r="AJ30" s="12"/>
      <c r="AK30" s="12"/>
    </row>
    <row r="31" spans="2:37" ht="16.899999999999999" customHeight="1" x14ac:dyDescent="0.3">
      <c r="B31">
        <v>100</v>
      </c>
      <c r="C31" t="s">
        <v>0</v>
      </c>
      <c r="D31">
        <v>6</v>
      </c>
      <c r="E31" s="9">
        <v>0.79349999999999998</v>
      </c>
      <c r="F31" s="9">
        <f>AVERAGE(E31:E32)</f>
        <v>0.82414999999999994</v>
      </c>
      <c r="G31" s="9">
        <f>STDEV(E31:E32)</f>
        <v>4.3345645686735379E-2</v>
      </c>
      <c r="I31" s="10">
        <v>26.6</v>
      </c>
      <c r="J31" s="12">
        <f>AVERAGE(I31:I33)</f>
        <v>26.103333333333335</v>
      </c>
      <c r="K31" s="12">
        <f>STDEV(I31:I33)</f>
        <v>0.69428620419343967</v>
      </c>
      <c r="M31" s="10">
        <v>7.18</v>
      </c>
      <c r="N31" s="12">
        <f>AVERAGE(M31:M33)</f>
        <v>7.0666666666666664</v>
      </c>
      <c r="O31" s="12">
        <f>STDEV(M31:M33)</f>
        <v>9.8149545762236334E-2</v>
      </c>
      <c r="Q31">
        <v>18.899999999999999</v>
      </c>
      <c r="R31" s="15">
        <f>AVERAGE(Q31:Q33)</f>
        <v>19.36333333333333</v>
      </c>
      <c r="S31" s="15">
        <f>STDEV(Q31:Q33)</f>
        <v>0.8198983676854914</v>
      </c>
      <c r="U31">
        <f>Q31*0.03</f>
        <v>0.56699999999999995</v>
      </c>
      <c r="V31" s="15">
        <f>AVERAGE(U31:U33)</f>
        <v>0.58089999999999986</v>
      </c>
      <c r="W31" s="15">
        <f>STDEV(U31:U33)</f>
        <v>2.4596951030564758E-2</v>
      </c>
      <c r="X31" s="3"/>
      <c r="Y31">
        <v>1.28</v>
      </c>
      <c r="Z31" s="15">
        <f>AVERAGE(Y31:Y33)</f>
        <v>1.33</v>
      </c>
      <c r="AA31" s="15">
        <f>STDEV(Y31:Y33)</f>
        <v>7.8102496759066484E-2</v>
      </c>
      <c r="AB31" s="3"/>
      <c r="AC31">
        <f>Y31*0.03</f>
        <v>3.8399999999999997E-2</v>
      </c>
      <c r="AD31" s="15">
        <f>AVERAGE(AC31:AC33)</f>
        <v>3.9899999999999998E-2</v>
      </c>
      <c r="AE31" s="15">
        <f>STDEV(AC31:AC33)</f>
        <v>2.3430749027719975E-3</v>
      </c>
      <c r="AF31" s="3"/>
      <c r="AG31" s="6">
        <f>U31/AC31</f>
        <v>14.765625</v>
      </c>
      <c r="AH31" s="8">
        <f>AVERAGE(AG31:AG33)</f>
        <v>14.568033605379043</v>
      </c>
      <c r="AI31" s="8">
        <f>STDEV(AG31:AG33)</f>
        <v>0.23870006468150981</v>
      </c>
      <c r="AJ31" s="12"/>
      <c r="AK31" s="12"/>
    </row>
    <row r="32" spans="2:37" ht="16.899999999999999" customHeight="1" x14ac:dyDescent="0.3">
      <c r="C32" t="s">
        <v>1</v>
      </c>
      <c r="D32">
        <v>6</v>
      </c>
      <c r="E32" s="9">
        <v>0.8548</v>
      </c>
      <c r="F32" s="9"/>
      <c r="G32" s="9"/>
      <c r="I32" s="10">
        <v>26.4</v>
      </c>
      <c r="J32" s="10"/>
      <c r="K32" s="10"/>
      <c r="M32" s="10">
        <v>7.01</v>
      </c>
      <c r="N32" s="10"/>
      <c r="O32" s="10"/>
      <c r="Q32">
        <v>20.309999999999999</v>
      </c>
      <c r="U32">
        <f t="shared" ref="U32:U33" si="10">Q32*0.03</f>
        <v>0.60929999999999995</v>
      </c>
      <c r="X32" s="3"/>
      <c r="Y32">
        <v>1.42</v>
      </c>
      <c r="AB32" s="3"/>
      <c r="AC32">
        <f t="shared" ref="AC32:AC33" si="11">Y32*0.03</f>
        <v>4.2599999999999999E-2</v>
      </c>
      <c r="AF32" s="3"/>
      <c r="AG32" s="6">
        <f>U32/AC32</f>
        <v>14.30281690140845</v>
      </c>
      <c r="AJ32" s="10"/>
      <c r="AK32" s="10"/>
    </row>
    <row r="33" spans="3:37" ht="16.899999999999999" customHeight="1" x14ac:dyDescent="0.3">
      <c r="C33" t="s">
        <v>2</v>
      </c>
      <c r="D33">
        <v>6</v>
      </c>
      <c r="E33" s="9">
        <v>0.77410000000000001</v>
      </c>
      <c r="F33" s="9"/>
      <c r="G33" s="9"/>
      <c r="I33" s="10">
        <v>25.31</v>
      </c>
      <c r="J33" s="10"/>
      <c r="K33" s="10"/>
      <c r="M33" s="10">
        <v>7.01</v>
      </c>
      <c r="N33" s="10"/>
      <c r="O33" s="10"/>
      <c r="Q33">
        <v>18.88</v>
      </c>
      <c r="U33">
        <f t="shared" si="10"/>
        <v>0.5663999999999999</v>
      </c>
      <c r="X33" s="3"/>
      <c r="Y33">
        <v>1.29</v>
      </c>
      <c r="AB33" s="3"/>
      <c r="AC33">
        <f t="shared" si="11"/>
        <v>3.8699999999999998E-2</v>
      </c>
      <c r="AF33" s="3"/>
      <c r="AG33" s="6">
        <f>U33/AC33</f>
        <v>14.63565891472868</v>
      </c>
      <c r="AJ33" s="10"/>
      <c r="AK33" s="10"/>
    </row>
    <row r="34" spans="3:37" x14ac:dyDescent="0.25">
      <c r="M34" s="10"/>
      <c r="N34" s="10"/>
      <c r="O34" s="10"/>
      <c r="U34" s="17" t="s">
        <v>23</v>
      </c>
      <c r="V34" s="18">
        <f>SUM(V11:V33)</f>
        <v>4.9736999999999991</v>
      </c>
      <c r="Z34" s="14"/>
      <c r="AA34" s="14"/>
      <c r="AC34" s="19" t="s">
        <v>24</v>
      </c>
      <c r="AD34" s="20">
        <f>SUM(AD11:AD33)</f>
        <v>0.44689999999999996</v>
      </c>
      <c r="AH34" s="21">
        <f>V34/AD34</f>
        <v>11.129335421794584</v>
      </c>
      <c r="AJ34" s="10"/>
      <c r="AK34" s="10"/>
    </row>
    <row r="35" spans="3:37" x14ac:dyDescent="0.25">
      <c r="U35" s="22" t="s">
        <v>25</v>
      </c>
      <c r="V35" s="14">
        <f>(U11+U15+U19+U23+U27+U31)</f>
        <v>5.0004</v>
      </c>
      <c r="Z35" s="14"/>
      <c r="AA35" s="14"/>
      <c r="AC35" s="22" t="s">
        <v>25</v>
      </c>
      <c r="AD35" s="14">
        <f>(AC11+AC15+AC19+AC23+AC27+AC31)</f>
        <v>0.44879999999999998</v>
      </c>
    </row>
    <row r="36" spans="3:37" x14ac:dyDescent="0.25">
      <c r="U36" s="22" t="s">
        <v>26</v>
      </c>
      <c r="V36" s="14">
        <f>(U12+U16+U20+U24+U28+U32)</f>
        <v>4.9992000000000001</v>
      </c>
      <c r="Z36" s="14"/>
      <c r="AA36" s="14"/>
      <c r="AC36" s="22" t="s">
        <v>26</v>
      </c>
      <c r="AD36" s="14">
        <f>(AC12+AC16+AC20+AC24+AC28+AC32)</f>
        <v>0.44999999999999996</v>
      </c>
    </row>
    <row r="37" spans="3:37" x14ac:dyDescent="0.25">
      <c r="E37"/>
      <c r="F37"/>
      <c r="G37"/>
      <c r="U37" s="22" t="s">
        <v>27</v>
      </c>
      <c r="V37" s="14">
        <f>(U13+U17+U21+U25+U29+U33)</f>
        <v>4.9215</v>
      </c>
      <c r="Z37" s="14"/>
      <c r="AA37" s="14"/>
      <c r="AC37" s="22" t="s">
        <v>27</v>
      </c>
      <c r="AD37" s="14">
        <f>(AC13+AC17+AC21+AC25+AC29+AC33)</f>
        <v>0.44190000000000002</v>
      </c>
    </row>
    <row r="38" spans="3:37" x14ac:dyDescent="0.25">
      <c r="E38"/>
      <c r="F38"/>
      <c r="G38"/>
      <c r="U38" s="23" t="s">
        <v>4</v>
      </c>
      <c r="V38" s="24">
        <f>AVERAGE(V35:V37)</f>
        <v>4.9737</v>
      </c>
      <c r="Z38" s="14"/>
      <c r="AA38" s="14"/>
      <c r="AC38" s="23" t="s">
        <v>4</v>
      </c>
      <c r="AD38" s="24">
        <f>AVERAGE(AD35:AD37)</f>
        <v>0.44690000000000002</v>
      </c>
      <c r="AH38" s="25">
        <f>V38/AD38</f>
        <v>11.129335421794584</v>
      </c>
    </row>
    <row r="39" spans="3:37" x14ac:dyDescent="0.25">
      <c r="E39"/>
      <c r="F39"/>
      <c r="G39"/>
      <c r="U39" s="23" t="s">
        <v>28</v>
      </c>
      <c r="V39" s="24">
        <f>STDEV(V35:V37)</f>
        <v>4.5210507628205214E-2</v>
      </c>
      <c r="Z39" s="14"/>
      <c r="AA39" s="14"/>
      <c r="AC39" s="23" t="s">
        <v>28</v>
      </c>
      <c r="AD39" s="24">
        <f>STDEV(AD35:AD37)</f>
        <v>4.3714985988788499E-3</v>
      </c>
    </row>
    <row r="40" spans="3:37" x14ac:dyDescent="0.25">
      <c r="E40"/>
      <c r="F40"/>
      <c r="G40"/>
      <c r="Z40" s="14"/>
      <c r="AA40" s="14"/>
    </row>
    <row r="41" spans="3:37" x14ac:dyDescent="0.25">
      <c r="E41"/>
      <c r="F41"/>
      <c r="G41"/>
    </row>
    <row r="42" spans="3:37" x14ac:dyDescent="0.25">
      <c r="E42"/>
      <c r="F42"/>
      <c r="G42"/>
    </row>
    <row r="43" spans="3:37" x14ac:dyDescent="0.25">
      <c r="E43"/>
      <c r="F43"/>
      <c r="G43"/>
    </row>
    <row r="44" spans="3:37" x14ac:dyDescent="0.25">
      <c r="E44"/>
      <c r="F44"/>
      <c r="G44"/>
    </row>
    <row r="45" spans="3:37" x14ac:dyDescent="0.25">
      <c r="E45"/>
      <c r="F45"/>
      <c r="G45"/>
    </row>
    <row r="46" spans="3:37" x14ac:dyDescent="0.25">
      <c r="E46"/>
      <c r="F46"/>
      <c r="G46"/>
    </row>
    <row r="47" spans="3:37" x14ac:dyDescent="0.25">
      <c r="E47"/>
      <c r="F47"/>
      <c r="G47"/>
    </row>
    <row r="48" spans="3:37" x14ac:dyDescent="0.25">
      <c r="E48"/>
      <c r="F48"/>
      <c r="G48"/>
    </row>
    <row r="49" spans="5:7" x14ac:dyDescent="0.25">
      <c r="E49"/>
      <c r="F49"/>
      <c r="G49"/>
    </row>
    <row r="50" spans="5:7" x14ac:dyDescent="0.25">
      <c r="E50"/>
      <c r="F50"/>
      <c r="G50"/>
    </row>
    <row r="51" spans="5:7" x14ac:dyDescent="0.25">
      <c r="E51"/>
      <c r="F51"/>
      <c r="G51"/>
    </row>
    <row r="52" spans="5:7" x14ac:dyDescent="0.25">
      <c r="E52"/>
      <c r="F52"/>
      <c r="G52"/>
    </row>
    <row r="53" spans="5:7" x14ac:dyDescent="0.25">
      <c r="E53"/>
      <c r="F53"/>
      <c r="G53"/>
    </row>
    <row r="54" spans="5:7" x14ac:dyDescent="0.25">
      <c r="E54"/>
      <c r="F54"/>
      <c r="G54"/>
    </row>
  </sheetData>
  <printOptions gridLines="1"/>
  <pageMargins left="0.25" right="0.25" top="0.75" bottom="0.75" header="0.3" footer="0.3"/>
  <pageSetup paperSize="17" scale="4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1FDD6B857CEA458FF312F7068A3DC6" ma:contentTypeVersion="10" ma:contentTypeDescription="Create a new document." ma:contentTypeScope="" ma:versionID="bdfcf69eb2156f7efd3a3f87f4a7282a">
  <xsd:schema xmlns:xsd="http://www.w3.org/2001/XMLSchema" xmlns:xs="http://www.w3.org/2001/XMLSchema" xmlns:p="http://schemas.microsoft.com/office/2006/metadata/properties" xmlns:ns3="ecafc828-384e-4b6c-82fa-ed37282f78d9" targetNamespace="http://schemas.microsoft.com/office/2006/metadata/properties" ma:root="true" ma:fieldsID="d8a19667e17bbfab62cdd2612ab963ab" ns3:_="">
    <xsd:import namespace="ecafc828-384e-4b6c-82fa-ed37282f78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c828-384e-4b6c-82fa-ed37282f7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afc828-384e-4b6c-82fa-ed37282f78d9" xsi:nil="true"/>
  </documentManagement>
</p:properties>
</file>

<file path=customXml/itemProps1.xml><?xml version="1.0" encoding="utf-8"?>
<ds:datastoreItem xmlns:ds="http://schemas.openxmlformats.org/officeDocument/2006/customXml" ds:itemID="{CF3290DF-6ACF-4C1C-877C-ECFCABB8F4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EAE04-3CE3-465B-BA0A-FDB97EB04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fc828-384e-4b6c-82fa-ed37282f7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23B440-0F9C-4BD2-BD20-BFEB7FFEB1BE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cafc828-384e-4b6c-82fa-ed37282f78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IS = 0% ASW</vt:lpstr>
      <vt:lpstr>IS = 0.1%ASW</vt:lpstr>
      <vt:lpstr>IS = 1% ASW</vt:lpstr>
      <vt:lpstr>IS = 5% ASW</vt:lpstr>
      <vt:lpstr>IS =25% ASW</vt:lpstr>
      <vt:lpstr>IS = 100% ASW</vt:lpstr>
      <vt:lpstr>'IS = 0% ASW'!Print_Area</vt:lpstr>
      <vt:lpstr>'IS = 0.1%ASW'!Print_Area</vt:lpstr>
      <vt:lpstr>'IS = 1% ASW'!Print_Area</vt:lpstr>
      <vt:lpstr>'IS = 100% ASW'!Print_Area</vt:lpstr>
      <vt:lpstr>'IS = 5% ASW'!Print_Area</vt:lpstr>
      <vt:lpstr>'IS =25% ASW'!Print_Area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O'Loughlin, Edward J.</dc:creator>
  <cp:lastModifiedBy>O'Loughlin, Edward J.</cp:lastModifiedBy>
  <cp:lastPrinted>2024-12-10T15:25:14Z</cp:lastPrinted>
  <dcterms:created xsi:type="dcterms:W3CDTF">2023-09-13T13:37:43Z</dcterms:created>
  <dcterms:modified xsi:type="dcterms:W3CDTF">2025-10-31T19:20:08Z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0x010100691FDD6B857CEA458FF312F7068A3DC6</vt:lpwstr>
  </property>
</Properties>
</file>